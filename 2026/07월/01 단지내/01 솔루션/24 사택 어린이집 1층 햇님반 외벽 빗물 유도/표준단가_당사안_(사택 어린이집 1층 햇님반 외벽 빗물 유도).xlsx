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filterPrivacy="1" codeName="현재_통합_문서"/>
  <xr:revisionPtr revIDLastSave="0" documentId="13_ncr:1_{107A3D60-7AF6-429E-8021-65562FD0BC48}" xr6:coauthVersionLast="47" xr6:coauthVersionMax="47" xr10:uidLastSave="{00000000-0000-0000-0000-000000000000}"/>
  <bookViews>
    <workbookView xWindow="2730" yWindow="0" windowWidth="14490" windowHeight="16245" xr2:uid="{00000000-000D-0000-FFFF-FFFF00000000}"/>
  </bookViews>
  <sheets>
    <sheet name="갑지" sheetId="5" r:id="rId1"/>
    <sheet name="내역서(표준단가)" sheetId="4" r:id="rId2"/>
    <sheet name="시중가 근거서류" sheetId="14" r:id="rId3"/>
    <sheet name="Upload(시중가)" sheetId="13" r:id="rId4"/>
    <sheet name="Upload" sheetId="1" r:id="rId5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8" i="4" l="1"/>
  <c r="M7" i="4"/>
  <c r="M6" i="4"/>
  <c r="F4" i="1" l="1"/>
  <c r="E4" i="1"/>
  <c r="D4" i="1"/>
  <c r="C4" i="1"/>
  <c r="B4" i="1"/>
  <c r="F3" i="1"/>
  <c r="E3" i="1"/>
  <c r="D3" i="1"/>
  <c r="C3" i="1"/>
  <c r="B3" i="1"/>
  <c r="F2" i="1"/>
  <c r="E2" i="1"/>
  <c r="D2" i="1"/>
  <c r="C2" i="1"/>
  <c r="B2" i="1"/>
  <c r="O7" i="4" l="1"/>
  <c r="Q7" i="4"/>
  <c r="O6" i="4"/>
  <c r="Q6" i="4"/>
  <c r="O8" i="4"/>
  <c r="R8" i="4" s="1"/>
  <c r="Q5" i="4"/>
  <c r="O5" i="4"/>
  <c r="M5" i="4"/>
  <c r="K5" i="4"/>
  <c r="A5" i="4"/>
  <c r="A2" i="1" s="1"/>
  <c r="A7" i="4"/>
  <c r="A4" i="1" s="1"/>
  <c r="A6" i="4"/>
  <c r="A3" i="1" s="1"/>
  <c r="R7" i="4" l="1"/>
  <c r="R6" i="4"/>
  <c r="R5" i="4"/>
  <c r="K9" i="4" l="1"/>
  <c r="M9" i="4"/>
  <c r="F17" i="5" s="1"/>
  <c r="F21" i="5" l="1"/>
  <c r="F22" i="5"/>
  <c r="R9" i="4"/>
  <c r="Q9" i="4"/>
  <c r="F16" i="5"/>
  <c r="O9" i="4"/>
  <c r="F18" i="5" l="1"/>
  <c r="F26" i="5" l="1"/>
  <c r="F19" i="5"/>
  <c r="F24" i="5"/>
  <c r="F25" i="5"/>
  <c r="F23" i="5"/>
  <c r="F27" i="5" l="1"/>
  <c r="F28" i="5" s="1"/>
  <c r="F30" i="5" s="1"/>
  <c r="F31" i="5" s="1"/>
  <c r="B12" i="5" s="1"/>
</calcChain>
</file>

<file path=xl/sharedStrings.xml><?xml version="1.0" encoding="utf-8"?>
<sst xmlns="http://schemas.openxmlformats.org/spreadsheetml/2006/main" count="138" uniqueCount="112">
  <si>
    <t>구분</t>
  </si>
  <si>
    <t>표준단가</t>
  </si>
  <si>
    <t>표준품셈</t>
  </si>
  <si>
    <t>물가정보</t>
  </si>
  <si>
    <t>노임단가</t>
  </si>
  <si>
    <t>수량</t>
  </si>
  <si>
    <t>견 적 서</t>
    <phoneticPr fontId="14" type="noConversion"/>
  </si>
  <si>
    <t xml:space="preserve">금액: </t>
    <phoneticPr fontId="14" type="noConversion"/>
  </si>
  <si>
    <t>원정</t>
    <phoneticPr fontId="16" type="noConversion"/>
  </si>
  <si>
    <t xml:space="preserve">  </t>
  </si>
  <si>
    <t>NO</t>
  </si>
  <si>
    <t>품명</t>
    <phoneticPr fontId="16" type="noConversion"/>
  </si>
  <si>
    <t>규격</t>
    <phoneticPr fontId="16" type="noConversion"/>
  </si>
  <si>
    <t>수량</t>
    <phoneticPr fontId="16" type="noConversion"/>
  </si>
  <si>
    <t>단위</t>
    <phoneticPr fontId="16" type="noConversion"/>
  </si>
  <si>
    <t>금액</t>
    <phoneticPr fontId="16" type="noConversion"/>
  </si>
  <si>
    <t>비고</t>
    <phoneticPr fontId="16" type="noConversion"/>
  </si>
  <si>
    <t>직접비</t>
    <phoneticPr fontId="14" type="noConversion"/>
  </si>
  <si>
    <t>재료비</t>
    <phoneticPr fontId="14" type="noConversion"/>
  </si>
  <si>
    <t>노무비</t>
    <phoneticPr fontId="16" type="noConversion"/>
  </si>
  <si>
    <t>기계/기타경비</t>
    <phoneticPr fontId="14" type="noConversion"/>
  </si>
  <si>
    <t>소계</t>
    <phoneticPr fontId="14" type="noConversion"/>
  </si>
  <si>
    <t>간접비</t>
    <phoneticPr fontId="14" type="noConversion"/>
  </si>
  <si>
    <t>  국민연금</t>
    <phoneticPr fontId="16" type="noConversion"/>
  </si>
  <si>
    <t>식</t>
    <phoneticPr fontId="16" type="noConversion"/>
  </si>
  <si>
    <t>모든공사에 적용</t>
    <phoneticPr fontId="16" type="noConversion"/>
  </si>
  <si>
    <t>  건강보험료</t>
    <phoneticPr fontId="16" type="noConversion"/>
  </si>
  <si>
    <t>모든공사에 적용</t>
    <phoneticPr fontId="16" type="noConversion"/>
  </si>
  <si>
    <t>  장기요양보험료</t>
    <phoneticPr fontId="16" type="noConversion"/>
  </si>
  <si>
    <t>  고용보험료</t>
    <phoneticPr fontId="16" type="noConversion"/>
  </si>
  <si>
    <t>  산재보험료</t>
    <phoneticPr fontId="16" type="noConversion"/>
  </si>
  <si>
    <t xml:space="preserve">  산업안전보건관리비</t>
    <phoneticPr fontId="16" type="noConversion"/>
  </si>
  <si>
    <t>소계</t>
    <phoneticPr fontId="14" type="noConversion"/>
  </si>
  <si>
    <t>합계(단수조정)</t>
    <phoneticPr fontId="14" type="noConversion"/>
  </si>
  <si>
    <t>VAT별도</t>
    <phoneticPr fontId="16" type="noConversion"/>
  </si>
  <si>
    <t> (재료비+노무비)*2.93%</t>
    <phoneticPr fontId="16" type="noConversion"/>
  </si>
  <si>
    <t>일반관리비/이윤</t>
    <phoneticPr fontId="16" type="noConversion"/>
  </si>
  <si>
    <t> (노무비+간접공사비)*5%</t>
    <phoneticPr fontId="16" type="noConversion"/>
  </si>
  <si>
    <t>등록번호</t>
    <phoneticPr fontId="10" type="noConversion"/>
  </si>
  <si>
    <t>종 목</t>
    <phoneticPr fontId="10" type="noConversion"/>
  </si>
  <si>
    <t>TEL, FAX</t>
    <phoneticPr fontId="10" type="noConversion"/>
  </si>
  <si>
    <t>상 호</t>
    <phoneticPr fontId="10" type="noConversion"/>
  </si>
  <si>
    <t>대표 이사</t>
    <phoneticPr fontId="10" type="noConversion"/>
  </si>
  <si>
    <t>사업장</t>
    <phoneticPr fontId="10" type="noConversion"/>
  </si>
  <si>
    <t>업 태</t>
    <phoneticPr fontId="10" type="noConversion"/>
  </si>
  <si>
    <t>할증기준</t>
    <phoneticPr fontId="8" type="noConversion"/>
  </si>
  <si>
    <t> 노무비*1.01%</t>
    <phoneticPr fontId="16" type="noConversion"/>
  </si>
  <si>
    <t>단위</t>
  </si>
  <si>
    <t xml:space="preserve"> 수신인 : 주식회사 에스엔아이 코퍼레이션</t>
    <phoneticPr fontId="14" type="noConversion"/>
  </si>
  <si>
    <t> 건강보험료*12.95%</t>
    <phoneticPr fontId="16" type="noConversion"/>
  </si>
  <si>
    <t> 노무비*3.56%</t>
    <phoneticPr fontId="16" type="noConversion"/>
  </si>
  <si>
    <t>314-86-35718</t>
    <phoneticPr fontId="8" type="noConversion"/>
  </si>
  <si>
    <t>㈜일성건축</t>
    <phoneticPr fontId="8" type="noConversion"/>
  </si>
  <si>
    <t>상 석 희</t>
    <phoneticPr fontId="8" type="noConversion"/>
  </si>
  <si>
    <t>대전 서구 도마6길 107 (도마동)</t>
    <phoneticPr fontId="8" type="noConversion"/>
  </si>
  <si>
    <t>건설업</t>
    <phoneticPr fontId="8" type="noConversion"/>
  </si>
  <si>
    <t>실내건축,인테리어공사</t>
    <phoneticPr fontId="8" type="noConversion"/>
  </si>
  <si>
    <t>042)527-0995, 042)527-0996</t>
    <phoneticPr fontId="8" type="noConversion"/>
  </si>
  <si>
    <t>▼낙찰율</t>
    <phoneticPr fontId="10" type="noConversion"/>
  </si>
  <si>
    <t>▶ 표준 Code(표준단가/품셈/물정/노임) 순서별 입력(Upload 자동반영)</t>
    <phoneticPr fontId="8" type="noConversion"/>
  </si>
  <si>
    <t>주요내역</t>
    <phoneticPr fontId="8" type="noConversion"/>
  </si>
  <si>
    <t>재료비</t>
    <phoneticPr fontId="10" type="noConversion"/>
  </si>
  <si>
    <t>노무비</t>
    <phoneticPr fontId="10" type="noConversion"/>
  </si>
  <si>
    <t>기계경비</t>
  </si>
  <si>
    <t>기타경비(부자재비)</t>
  </si>
  <si>
    <t>합계</t>
    <phoneticPr fontId="10" type="noConversion"/>
  </si>
  <si>
    <t>노무비 할증</t>
    <phoneticPr fontId="8" type="noConversion"/>
  </si>
  <si>
    <t>합계</t>
    <phoneticPr fontId="8" type="noConversion"/>
  </si>
  <si>
    <t>표준단가 D</t>
    <phoneticPr fontId="8" type="noConversion"/>
  </si>
  <si>
    <t>표준품셈 E</t>
    <phoneticPr fontId="8" type="noConversion"/>
  </si>
  <si>
    <t>물가정보 M</t>
    <phoneticPr fontId="8" type="noConversion"/>
  </si>
  <si>
    <t>노임단가 L</t>
    <phoneticPr fontId="8" type="noConversion"/>
  </si>
  <si>
    <t>품목</t>
    <phoneticPr fontId="8" type="noConversion"/>
  </si>
  <si>
    <t>규격</t>
    <phoneticPr fontId="8" type="noConversion"/>
  </si>
  <si>
    <t>품셈/표단</t>
    <phoneticPr fontId="8" type="noConversion"/>
  </si>
  <si>
    <t>금액</t>
  </si>
  <si>
    <t>단가</t>
    <phoneticPr fontId="10" type="noConversion"/>
  </si>
  <si>
    <t>단가</t>
  </si>
  <si>
    <t> 노무비*4.75%</t>
    <phoneticPr fontId="16" type="noConversion"/>
  </si>
  <si>
    <t> 노무비*3.595%</t>
    <phoneticPr fontId="16" type="noConversion"/>
  </si>
  <si>
    <t>인</t>
    <phoneticPr fontId="8" type="noConversion"/>
  </si>
  <si>
    <t>표준내역코드</t>
  </si>
  <si>
    <t>세부공종</t>
  </si>
  <si>
    <t>품명</t>
  </si>
  <si>
    <t>규격</t>
  </si>
  <si>
    <t>재료비단가</t>
  </si>
  <si>
    <t>재료비소계</t>
  </si>
  <si>
    <t>노무비단가</t>
  </si>
  <si>
    <t>노무비소계</t>
  </si>
  <si>
    <t>기계경비단가</t>
  </si>
  <si>
    <t>기계경비소계</t>
  </si>
  <si>
    <t>기타경비단가</t>
  </si>
  <si>
    <t>기타경비소계</t>
  </si>
  <si>
    <t>할증코드</t>
  </si>
  <si>
    <t>재료비할증율</t>
  </si>
  <si>
    <t>노무비할증율</t>
  </si>
  <si>
    <t>할증내용</t>
  </si>
  <si>
    <t>영선, 건축</t>
    <phoneticPr fontId="8" type="noConversion"/>
  </si>
  <si>
    <t>Set</t>
  </si>
  <si>
    <t>M020251411630101</t>
  </si>
  <si>
    <t>다우실 988</t>
  </si>
  <si>
    <t>1액형 실리콘, 비오염성 실리콘, 석재 조인트용</t>
  </si>
  <si>
    <t>270㎖</t>
  </si>
  <si>
    <t>L002</t>
  </si>
  <si>
    <t>L003</t>
    <phoneticPr fontId="8" type="noConversion"/>
  </si>
  <si>
    <t xml:space="preserve"> 공사명 : 사택 어린이집 햇님반 누수보수</t>
    <phoneticPr fontId="14" type="noConversion"/>
  </si>
  <si>
    <t xml:space="preserve"> 견적일 : 2026년  06월  01일</t>
    <phoneticPr fontId="8" type="noConversion"/>
  </si>
  <si>
    <t>전문업체 견적서 첨부</t>
    <phoneticPr fontId="8" type="noConversion"/>
  </si>
  <si>
    <t>외벽 대리석 2개소 교체</t>
    <phoneticPr fontId="8" type="noConversion"/>
  </si>
  <si>
    <t xml:space="preserve">특별인부 </t>
    <phoneticPr fontId="8" type="noConversion"/>
  </si>
  <si>
    <t>외벽 누수보수</t>
    <phoneticPr fontId="8" type="noConversion"/>
  </si>
  <si>
    <t xml:space="preserve"> 사다리 보조자, 보통인부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</si>
</sst>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1" formatCode="_(* #,##0_);_(* \(#,##0\);_(* &quot;-&quot;_);_(@_)"/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79" formatCode="###,#00,000"/>
    <numFmt numFmtId="180" formatCode="_-* #,##0_-;&quot;₩&quot;\!\-* #,##0_-;_-* &quot;-&quot;_-;_-@_-"/>
    <numFmt numFmtId="181" formatCode="#"/>
    <numFmt numFmtId="182" formatCode="0.0%"/>
    <numFmt numFmtId="183" formatCode="#,##0_ "/>
    <numFmt numFmtId="184" formatCode="#,##0;\-#,##0;"/>
    <numFmt numFmtId="185" formatCode="0.0_ "/>
    <numFmt numFmtId="186" formatCode="#,##0.000_ "/>
  </numFmts>
  <fonts count="32" x14ac:knownFonts="1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11"/>
      <name val="바탕체"/>
      <family val="1"/>
      <charset val="129"/>
    </font>
    <font>
      <sz val="8"/>
      <name val="바탕체"/>
      <family val="1"/>
      <charset val="129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11"/>
      <name val="돋움"/>
      <family val="3"/>
      <charset val="129"/>
    </font>
    <font>
      <b/>
      <sz val="26"/>
      <color rgb="FF000000"/>
      <name val="LG스마트체 Regular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b/>
      <sz val="11"/>
      <color rgb="FF000000"/>
      <name val="LG스마트체 Regular"/>
      <family val="3"/>
      <charset val="129"/>
    </font>
    <font>
      <sz val="12"/>
      <name val="LG스마트체 Regular"/>
      <family val="3"/>
      <charset val="129"/>
    </font>
    <font>
      <sz val="12"/>
      <color rgb="FFFF0000"/>
      <name val="LG스마트체 Regular"/>
      <family val="3"/>
      <charset val="129"/>
    </font>
    <font>
      <sz val="10"/>
      <name val="굴림"/>
      <family val="3"/>
      <charset val="129"/>
    </font>
    <font>
      <sz val="10"/>
      <color rgb="FF000000"/>
      <name val="굴림"/>
      <family val="3"/>
      <charset val="129"/>
    </font>
    <font>
      <sz val="10"/>
      <color theme="1"/>
      <name val="굴림"/>
      <family val="3"/>
      <charset val="129"/>
    </font>
    <font>
      <sz val="10"/>
      <color rgb="FFFF0000"/>
      <name val="굴림"/>
      <family val="3"/>
      <charset val="129"/>
    </font>
  </fonts>
  <fills count="11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34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rgb="FFDCDBDA"/>
      </right>
      <top style="thin">
        <color rgb="FFDCDBDA"/>
      </top>
      <bottom style="thin">
        <color rgb="FFDCDBDA"/>
      </bottom>
      <diagonal/>
    </border>
    <border>
      <left/>
      <right style="thin">
        <color rgb="FFDCDBDA"/>
      </right>
      <top style="thin">
        <color rgb="FFDCDBDA"/>
      </top>
      <bottom/>
      <diagonal/>
    </border>
    <border>
      <left/>
      <right/>
      <top style="hair">
        <color indexed="64"/>
      </top>
      <bottom/>
      <diagonal/>
    </border>
  </borders>
  <cellStyleXfs count="25">
    <xf numFmtId="0" fontId="0" fillId="0" borderId="0">
      <alignment vertical="center"/>
    </xf>
    <xf numFmtId="177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11" fillId="0" borderId="0"/>
    <xf numFmtId="177" fontId="7" fillId="0" borderId="0" applyFont="0" applyFill="0" applyBorder="0" applyAlignment="0" applyProtection="0">
      <alignment vertical="center"/>
    </xf>
    <xf numFmtId="178" fontId="12" fillId="0" borderId="0" applyFont="0" applyFill="0" applyBorder="0" applyAlignment="0" applyProtection="0"/>
    <xf numFmtId="0" fontId="13" fillId="0" borderId="0"/>
    <xf numFmtId="180" fontId="13" fillId="0" borderId="0" applyFont="0" applyFill="0" applyBorder="0" applyAlignment="0" applyProtection="0"/>
    <xf numFmtId="0" fontId="7" fillId="0" borderId="0">
      <alignment vertical="center"/>
    </xf>
    <xf numFmtId="9" fontId="12" fillId="0" borderId="0" applyFont="0" applyFill="0" applyBorder="0" applyAlignment="0" applyProtection="0"/>
    <xf numFmtId="0" fontId="11" fillId="0" borderId="0"/>
    <xf numFmtId="0" fontId="17" fillId="0" borderId="0"/>
    <xf numFmtId="176" fontId="17" fillId="0" borderId="0" applyFont="0" applyFill="0" applyBorder="0" applyAlignment="0" applyProtection="0"/>
    <xf numFmtId="177" fontId="17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5" fillId="0" borderId="0">
      <alignment vertical="center"/>
    </xf>
    <xf numFmtId="177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177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145">
    <xf numFmtId="0" fontId="0" fillId="0" borderId="0" xfId="0">
      <alignment vertical="center"/>
    </xf>
    <xf numFmtId="0" fontId="15" fillId="0" borderId="7" xfId="6" applyFont="1" applyBorder="1" applyAlignment="1">
      <alignment horizontal="right" vertical="center"/>
    </xf>
    <xf numFmtId="0" fontId="18" fillId="0" borderId="0" xfId="6" applyFont="1" applyAlignment="1">
      <alignment vertical="center"/>
    </xf>
    <xf numFmtId="0" fontId="19" fillId="0" borderId="0" xfId="3" applyFont="1"/>
    <xf numFmtId="0" fontId="20" fillId="0" borderId="5" xfId="6" applyFont="1" applyBorder="1" applyAlignment="1">
      <alignment horizontal="center" vertical="center"/>
    </xf>
    <xf numFmtId="0" fontId="15" fillId="0" borderId="6" xfId="6" applyFont="1" applyBorder="1" applyAlignment="1">
      <alignment horizontal="right" vertical="center"/>
    </xf>
    <xf numFmtId="0" fontId="15" fillId="5" borderId="25" xfId="6" applyFont="1" applyFill="1" applyBorder="1" applyAlignment="1">
      <alignment horizontal="center" vertical="center"/>
    </xf>
    <xf numFmtId="0" fontId="15" fillId="5" borderId="26" xfId="6" applyFont="1" applyFill="1" applyBorder="1" applyAlignment="1">
      <alignment vertical="center" shrinkToFit="1"/>
    </xf>
    <xf numFmtId="0" fontId="15" fillId="5" borderId="2" xfId="6" applyFont="1" applyFill="1" applyBorder="1" applyAlignment="1">
      <alignment horizontal="center" vertical="center"/>
    </xf>
    <xf numFmtId="0" fontId="15" fillId="5" borderId="27" xfId="6" applyFont="1" applyFill="1" applyBorder="1" applyAlignment="1">
      <alignment vertical="center" shrinkToFit="1"/>
    </xf>
    <xf numFmtId="0" fontId="21" fillId="0" borderId="0" xfId="6" applyFont="1" applyAlignment="1">
      <alignment vertical="center" shrinkToFit="1"/>
    </xf>
    <xf numFmtId="0" fontId="15" fillId="5" borderId="2" xfId="6" applyFont="1" applyFill="1" applyBorder="1" applyAlignment="1">
      <alignment horizontal="center" vertical="center" shrinkToFit="1"/>
    </xf>
    <xf numFmtId="0" fontId="15" fillId="0" borderId="2" xfId="6" applyFont="1" applyBorder="1" applyAlignment="1">
      <alignment horizontal="center" vertical="center"/>
    </xf>
    <xf numFmtId="0" fontId="15" fillId="0" borderId="27" xfId="6" applyFont="1" applyBorder="1" applyAlignment="1">
      <alignment vertical="center"/>
    </xf>
    <xf numFmtId="0" fontId="20" fillId="0" borderId="0" xfId="6" applyFont="1" applyAlignment="1">
      <alignment horizontal="center" vertical="center" shrinkToFit="1"/>
    </xf>
    <xf numFmtId="0" fontId="15" fillId="0" borderId="28" xfId="6" applyFont="1" applyBorder="1" applyAlignment="1">
      <alignment horizontal="center" vertical="center" shrinkToFit="1"/>
    </xf>
    <xf numFmtId="0" fontId="15" fillId="0" borderId="29" xfId="6" applyFont="1" applyBorder="1" applyAlignment="1">
      <alignment vertical="center" shrinkToFit="1"/>
    </xf>
    <xf numFmtId="0" fontId="21" fillId="0" borderId="7" xfId="6" applyFont="1" applyBorder="1" applyAlignment="1">
      <alignment vertical="center"/>
    </xf>
    <xf numFmtId="179" fontId="20" fillId="0" borderId="7" xfId="6" applyNumberFormat="1" applyFont="1" applyBorder="1" applyAlignment="1">
      <alignment vertical="center"/>
    </xf>
    <xf numFmtId="0" fontId="20" fillId="0" borderId="0" xfId="6" applyFont="1" applyAlignment="1">
      <alignment vertical="center" shrinkToFit="1"/>
    </xf>
    <xf numFmtId="0" fontId="15" fillId="0" borderId="8" xfId="6" applyFont="1" applyBorder="1" applyAlignment="1">
      <alignment horizontal="center" vertical="center"/>
    </xf>
    <xf numFmtId="0" fontId="15" fillId="0" borderId="9" xfId="6" applyFont="1" applyBorder="1" applyAlignment="1">
      <alignment horizontal="center" vertical="center"/>
    </xf>
    <xf numFmtId="0" fontId="15" fillId="0" borderId="10" xfId="6" applyFont="1" applyBorder="1" applyAlignment="1">
      <alignment horizontal="center" vertical="center"/>
    </xf>
    <xf numFmtId="0" fontId="22" fillId="0" borderId="11" xfId="6" applyFont="1" applyBorder="1" applyAlignment="1">
      <alignment horizontal="center" vertical="center"/>
    </xf>
    <xf numFmtId="0" fontId="15" fillId="0" borderId="12" xfId="6" applyFont="1" applyBorder="1" applyAlignment="1">
      <alignment vertical="center"/>
    </xf>
    <xf numFmtId="0" fontId="22" fillId="0" borderId="12" xfId="6" applyFont="1" applyBorder="1" applyAlignment="1">
      <alignment vertical="center"/>
    </xf>
    <xf numFmtId="1" fontId="22" fillId="0" borderId="12" xfId="6" applyNumberFormat="1" applyFont="1" applyBorder="1" applyAlignment="1">
      <alignment horizontal="center" vertical="center"/>
    </xf>
    <xf numFmtId="180" fontId="22" fillId="0" borderId="12" xfId="7" applyFont="1" applyBorder="1" applyAlignment="1">
      <alignment horizontal="right" vertical="center"/>
    </xf>
    <xf numFmtId="0" fontId="22" fillId="0" borderId="13" xfId="6" applyFont="1" applyBorder="1" applyAlignment="1">
      <alignment vertical="center"/>
    </xf>
    <xf numFmtId="0" fontId="22" fillId="0" borderId="14" xfId="6" applyFont="1" applyBorder="1" applyAlignment="1">
      <alignment horizontal="center" vertical="center"/>
    </xf>
    <xf numFmtId="0" fontId="22" fillId="0" borderId="15" xfId="6" applyFont="1" applyBorder="1" applyAlignment="1">
      <alignment horizontal="center" vertical="center"/>
    </xf>
    <xf numFmtId="0" fontId="22" fillId="0" borderId="15" xfId="3" applyFont="1" applyBorder="1" applyAlignment="1">
      <alignment horizontal="center" vertical="center"/>
    </xf>
    <xf numFmtId="1" fontId="22" fillId="0" borderId="15" xfId="6" applyNumberFormat="1" applyFont="1" applyBorder="1" applyAlignment="1">
      <alignment horizontal="center" vertical="center"/>
    </xf>
    <xf numFmtId="180" fontId="22" fillId="0" borderId="15" xfId="7" applyFont="1" applyBorder="1" applyAlignment="1">
      <alignment horizontal="right" vertical="center"/>
    </xf>
    <xf numFmtId="0" fontId="22" fillId="0" borderId="16" xfId="6" quotePrefix="1" applyFont="1" applyBorder="1" applyAlignment="1">
      <alignment vertical="center"/>
    </xf>
    <xf numFmtId="0" fontId="22" fillId="0" borderId="16" xfId="6" applyFont="1" applyBorder="1" applyAlignment="1">
      <alignment vertical="center"/>
    </xf>
    <xf numFmtId="0" fontId="15" fillId="8" borderId="15" xfId="6" applyFont="1" applyFill="1" applyBorder="1" applyAlignment="1">
      <alignment vertical="center"/>
    </xf>
    <xf numFmtId="1" fontId="15" fillId="8" borderId="15" xfId="6" applyNumberFormat="1" applyFont="1" applyFill="1" applyBorder="1" applyAlignment="1">
      <alignment horizontal="center" vertical="center"/>
    </xf>
    <xf numFmtId="180" fontId="15" fillId="8" borderId="15" xfId="7" applyFont="1" applyFill="1" applyBorder="1" applyAlignment="1">
      <alignment horizontal="right" vertical="center"/>
    </xf>
    <xf numFmtId="0" fontId="15" fillId="0" borderId="15" xfId="6" applyFont="1" applyBorder="1" applyAlignment="1">
      <alignment vertical="center"/>
    </xf>
    <xf numFmtId="0" fontId="22" fillId="0" borderId="15" xfId="6" applyFont="1" applyBorder="1" applyAlignment="1">
      <alignment vertical="center"/>
    </xf>
    <xf numFmtId="180" fontId="15" fillId="0" borderId="15" xfId="7" applyFont="1" applyFill="1" applyBorder="1" applyAlignment="1">
      <alignment horizontal="right" vertical="center"/>
    </xf>
    <xf numFmtId="0" fontId="22" fillId="0" borderId="15" xfId="8" applyFont="1" applyBorder="1" applyAlignment="1">
      <alignment horizontal="center" vertical="center"/>
    </xf>
    <xf numFmtId="178" fontId="22" fillId="0" borderId="15" xfId="5" applyFont="1" applyFill="1" applyBorder="1" applyAlignment="1">
      <alignment horizontal="right" vertical="center"/>
    </xf>
    <xf numFmtId="0" fontId="22" fillId="5" borderId="16" xfId="6" applyFont="1" applyFill="1" applyBorder="1" applyAlignment="1">
      <alignment vertical="center"/>
    </xf>
    <xf numFmtId="0" fontId="22" fillId="0" borderId="15" xfId="3" applyFont="1" applyBorder="1" applyAlignment="1">
      <alignment horizontal="left" vertical="center"/>
    </xf>
    <xf numFmtId="9" fontId="15" fillId="8" borderId="15" xfId="3" applyNumberFormat="1" applyFont="1" applyFill="1" applyBorder="1" applyAlignment="1">
      <alignment horizontal="right" vertical="center"/>
    </xf>
    <xf numFmtId="1" fontId="15" fillId="8" borderId="15" xfId="9" applyNumberFormat="1" applyFont="1" applyFill="1" applyBorder="1" applyAlignment="1">
      <alignment horizontal="center" vertical="center"/>
    </xf>
    <xf numFmtId="177" fontId="15" fillId="8" borderId="15" xfId="7" applyNumberFormat="1" applyFont="1" applyFill="1" applyBorder="1" applyAlignment="1">
      <alignment horizontal="right" vertical="center"/>
    </xf>
    <xf numFmtId="9" fontId="22" fillId="0" borderId="15" xfId="3" applyNumberFormat="1" applyFont="1" applyBorder="1" applyAlignment="1">
      <alignment horizontal="right" vertical="center"/>
    </xf>
    <xf numFmtId="1" fontId="22" fillId="0" borderId="15" xfId="9" applyNumberFormat="1" applyFont="1" applyFill="1" applyBorder="1" applyAlignment="1">
      <alignment horizontal="center" vertical="center"/>
    </xf>
    <xf numFmtId="177" fontId="15" fillId="0" borderId="15" xfId="7" applyNumberFormat="1" applyFont="1" applyFill="1" applyBorder="1" applyAlignment="1">
      <alignment horizontal="right" vertical="center"/>
    </xf>
    <xf numFmtId="0" fontId="22" fillId="0" borderId="15" xfId="3" applyFont="1" applyBorder="1" applyAlignment="1">
      <alignment vertical="center"/>
    </xf>
    <xf numFmtId="180" fontId="22" fillId="5" borderId="15" xfId="7" applyFont="1" applyFill="1" applyBorder="1" applyAlignment="1">
      <alignment horizontal="right" vertical="center"/>
    </xf>
    <xf numFmtId="180" fontId="15" fillId="8" borderId="0" xfId="3" applyNumberFormat="1" applyFont="1" applyFill="1" applyAlignment="1">
      <alignment vertical="center"/>
    </xf>
    <xf numFmtId="0" fontId="15" fillId="0" borderId="17" xfId="6" applyFont="1" applyBorder="1" applyAlignment="1">
      <alignment horizontal="center" vertical="center" textRotation="255"/>
    </xf>
    <xf numFmtId="0" fontId="15" fillId="0" borderId="18" xfId="6" applyFont="1" applyBorder="1" applyAlignment="1">
      <alignment vertical="top"/>
    </xf>
    <xf numFmtId="0" fontId="22" fillId="0" borderId="19" xfId="6" applyFont="1" applyBorder="1" applyAlignment="1">
      <alignment vertical="center"/>
    </xf>
    <xf numFmtId="0" fontId="22" fillId="0" borderId="19" xfId="6" applyFont="1" applyBorder="1" applyAlignment="1">
      <alignment horizontal="right" vertical="center"/>
    </xf>
    <xf numFmtId="0" fontId="22" fillId="0" borderId="20" xfId="6" applyFont="1" applyBorder="1" applyAlignment="1">
      <alignment vertical="center"/>
    </xf>
    <xf numFmtId="0" fontId="15" fillId="0" borderId="0" xfId="10" applyFont="1"/>
    <xf numFmtId="181" fontId="20" fillId="0" borderId="0" xfId="1" applyNumberFormat="1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9" fontId="23" fillId="0" borderId="0" xfId="0" applyNumberFormat="1" applyFont="1" applyAlignment="1">
      <alignment horizontal="center" vertical="center"/>
    </xf>
    <xf numFmtId="182" fontId="23" fillId="3" borderId="0" xfId="2" applyNumberFormat="1" applyFont="1" applyFill="1" applyAlignment="1">
      <alignment horizontal="center" vertical="center"/>
    </xf>
    <xf numFmtId="0" fontId="23" fillId="4" borderId="22" xfId="0" applyFont="1" applyFill="1" applyBorder="1" applyAlignment="1">
      <alignment horizontal="center" vertical="center"/>
    </xf>
    <xf numFmtId="0" fontId="23" fillId="7" borderId="3" xfId="0" applyFont="1" applyFill="1" applyBorder="1" applyAlignment="1">
      <alignment horizontal="center" vertical="center"/>
    </xf>
    <xf numFmtId="177" fontId="23" fillId="4" borderId="3" xfId="4" applyFont="1" applyFill="1" applyBorder="1" applyAlignment="1">
      <alignment horizontal="center" vertical="center"/>
    </xf>
    <xf numFmtId="178" fontId="23" fillId="4" borderId="3" xfId="5" applyFont="1" applyFill="1" applyBorder="1" applyAlignment="1">
      <alignment horizontal="center" vertical="center"/>
    </xf>
    <xf numFmtId="0" fontId="20" fillId="0" borderId="0" xfId="0" applyFont="1">
      <alignment vertical="center"/>
    </xf>
    <xf numFmtId="49" fontId="19" fillId="2" borderId="1" xfId="0" applyNumberFormat="1" applyFont="1" applyFill="1" applyBorder="1" applyAlignment="1">
      <alignment horizontal="center" vertical="center" wrapText="1"/>
    </xf>
    <xf numFmtId="181" fontId="19" fillId="7" borderId="1" xfId="1" applyNumberFormat="1" applyFont="1" applyFill="1" applyBorder="1" applyAlignment="1">
      <alignment horizontal="center" vertical="center"/>
    </xf>
    <xf numFmtId="181" fontId="19" fillId="0" borderId="1" xfId="1" applyNumberFormat="1" applyFont="1" applyBorder="1" applyAlignment="1">
      <alignment horizontal="center" vertical="center"/>
    </xf>
    <xf numFmtId="0" fontId="22" fillId="5" borderId="0" xfId="0" applyFont="1" applyFill="1" applyAlignment="1">
      <alignment horizontal="center" vertical="center"/>
    </xf>
    <xf numFmtId="0" fontId="20" fillId="0" borderId="0" xfId="6" applyFont="1" applyAlignment="1">
      <alignment vertical="center"/>
    </xf>
    <xf numFmtId="0" fontId="15" fillId="0" borderId="4" xfId="6" applyFont="1" applyBorder="1" applyAlignment="1">
      <alignment vertical="center"/>
    </xf>
    <xf numFmtId="0" fontId="19" fillId="0" borderId="0" xfId="0" applyFont="1" applyAlignment="1">
      <alignment vertical="center" wrapText="1"/>
    </xf>
    <xf numFmtId="0" fontId="23" fillId="4" borderId="3" xfId="3" applyFont="1" applyFill="1" applyBorder="1" applyAlignment="1">
      <alignment horizontal="center" vertical="center" wrapText="1"/>
    </xf>
    <xf numFmtId="0" fontId="23" fillId="0" borderId="0" xfId="0" applyFont="1" applyAlignment="1">
      <alignment horizontal="center" vertical="center"/>
    </xf>
    <xf numFmtId="0" fontId="19" fillId="0" borderId="0" xfId="0" applyFont="1">
      <alignment vertical="center"/>
    </xf>
    <xf numFmtId="0" fontId="23" fillId="9" borderId="24" xfId="0" applyFont="1" applyFill="1" applyBorder="1">
      <alignment vertical="center"/>
    </xf>
    <xf numFmtId="0" fontId="23" fillId="9" borderId="21" xfId="0" applyFont="1" applyFill="1" applyBorder="1">
      <alignment vertical="center"/>
    </xf>
    <xf numFmtId="0" fontId="24" fillId="0" borderId="0" xfId="0" applyFont="1">
      <alignment vertical="center"/>
    </xf>
    <xf numFmtId="0" fontId="22" fillId="10" borderId="0" xfId="0" applyFont="1" applyFill="1">
      <alignment vertical="center"/>
    </xf>
    <xf numFmtId="0" fontId="22" fillId="5" borderId="0" xfId="0" applyFont="1" applyFill="1">
      <alignment vertical="center"/>
    </xf>
    <xf numFmtId="177" fontId="15" fillId="10" borderId="0" xfId="0" applyNumberFormat="1" applyFont="1" applyFill="1">
      <alignment vertical="center"/>
    </xf>
    <xf numFmtId="0" fontId="25" fillId="0" borderId="0" xfId="0" applyFont="1">
      <alignment vertical="center"/>
    </xf>
    <xf numFmtId="177" fontId="25" fillId="0" borderId="0" xfId="0" applyNumberFormat="1" applyFont="1">
      <alignment vertical="center"/>
    </xf>
    <xf numFmtId="0" fontId="22" fillId="0" borderId="0" xfId="0" applyFont="1">
      <alignment vertical="center"/>
    </xf>
    <xf numFmtId="0" fontId="23" fillId="5" borderId="0" xfId="0" applyFont="1" applyFill="1">
      <alignment vertical="center"/>
    </xf>
    <xf numFmtId="0" fontId="15" fillId="0" borderId="5" xfId="6" applyFont="1" applyBorder="1" applyAlignment="1">
      <alignment vertical="center"/>
    </xf>
    <xf numFmtId="0" fontId="15" fillId="0" borderId="6" xfId="6" applyFont="1" applyBorder="1" applyAlignment="1">
      <alignment vertical="center"/>
    </xf>
    <xf numFmtId="0" fontId="26" fillId="0" borderId="15" xfId="8" applyFont="1" applyBorder="1" applyAlignment="1">
      <alignment horizontal="center" vertical="center"/>
    </xf>
    <xf numFmtId="0" fontId="27" fillId="0" borderId="15" xfId="6" applyFont="1" applyBorder="1" applyAlignment="1">
      <alignment vertical="center"/>
    </xf>
    <xf numFmtId="0" fontId="26" fillId="0" borderId="15" xfId="6" applyFont="1" applyBorder="1" applyAlignment="1">
      <alignment horizontal="center" vertical="center"/>
    </xf>
    <xf numFmtId="178" fontId="27" fillId="0" borderId="15" xfId="5" applyFont="1" applyFill="1" applyBorder="1" applyAlignment="1">
      <alignment horizontal="right" vertical="center"/>
    </xf>
    <xf numFmtId="0" fontId="26" fillId="5" borderId="15" xfId="8" applyFont="1" applyFill="1" applyBorder="1" applyAlignment="1">
      <alignment horizontal="center" vertical="center"/>
    </xf>
    <xf numFmtId="0" fontId="26" fillId="5" borderId="15" xfId="6" applyFont="1" applyFill="1" applyBorder="1" applyAlignment="1">
      <alignment horizontal="center" vertical="center"/>
    </xf>
    <xf numFmtId="178" fontId="27" fillId="5" borderId="15" xfId="5" applyFont="1" applyFill="1" applyBorder="1" applyAlignment="1">
      <alignment horizontal="right" vertical="center"/>
    </xf>
    <xf numFmtId="49" fontId="19" fillId="2" borderId="31" xfId="0" applyNumberFormat="1" applyFont="1" applyFill="1" applyBorder="1" applyAlignment="1">
      <alignment horizontal="center" vertical="center" wrapText="1"/>
    </xf>
    <xf numFmtId="49" fontId="19" fillId="2" borderId="32" xfId="0" applyNumberFormat="1" applyFont="1" applyFill="1" applyBorder="1" applyAlignment="1">
      <alignment horizontal="center" vertical="center" wrapText="1"/>
    </xf>
    <xf numFmtId="183" fontId="19" fillId="0" borderId="0" xfId="0" applyNumberFormat="1" applyFont="1">
      <alignment vertical="center"/>
    </xf>
    <xf numFmtId="0" fontId="20" fillId="0" borderId="0" xfId="22" applyFont="1">
      <alignment vertical="center"/>
    </xf>
    <xf numFmtId="0" fontId="25" fillId="0" borderId="0" xfId="22" applyFont="1">
      <alignment vertical="center"/>
    </xf>
    <xf numFmtId="0" fontId="20" fillId="0" borderId="0" xfId="22" applyFont="1" applyAlignment="1">
      <alignment horizontal="center" vertical="center"/>
    </xf>
    <xf numFmtId="49" fontId="28" fillId="5" borderId="3" xfId="0" applyNumberFormat="1" applyFont="1" applyFill="1" applyBorder="1" applyAlignment="1">
      <alignment horizontal="center" vertical="center" wrapText="1"/>
    </xf>
    <xf numFmtId="0" fontId="29" fillId="6" borderId="22" xfId="0" applyFont="1" applyFill="1" applyBorder="1" applyAlignment="1">
      <alignment horizontal="center" vertical="center"/>
    </xf>
    <xf numFmtId="49" fontId="29" fillId="7" borderId="3" xfId="0" applyNumberFormat="1" applyFont="1" applyFill="1" applyBorder="1" applyAlignment="1">
      <alignment horizontal="center" vertical="center"/>
    </xf>
    <xf numFmtId="0" fontId="29" fillId="7" borderId="3" xfId="0" applyFont="1" applyFill="1" applyBorder="1" applyAlignment="1">
      <alignment horizontal="center" vertical="center"/>
    </xf>
    <xf numFmtId="184" fontId="28" fillId="6" borderId="3" xfId="1" applyNumberFormat="1" applyFont="1" applyFill="1" applyBorder="1" applyAlignment="1">
      <alignment horizontal="right" vertical="center" wrapText="1"/>
    </xf>
    <xf numFmtId="184" fontId="28" fillId="5" borderId="3" xfId="0" applyNumberFormat="1" applyFont="1" applyFill="1" applyBorder="1" applyAlignment="1">
      <alignment horizontal="right" vertical="center" wrapText="1"/>
    </xf>
    <xf numFmtId="184" fontId="29" fillId="6" borderId="3" xfId="1" applyNumberFormat="1" applyFont="1" applyFill="1" applyBorder="1" applyAlignment="1">
      <alignment horizontal="right" vertical="center" wrapText="1"/>
    </xf>
    <xf numFmtId="184" fontId="29" fillId="0" borderId="3" xfId="1" applyNumberFormat="1" applyFont="1" applyFill="1" applyBorder="1" applyAlignment="1">
      <alignment horizontal="right" vertical="center" wrapText="1"/>
    </xf>
    <xf numFmtId="177" fontId="29" fillId="0" borderId="3" xfId="1" applyFont="1" applyFill="1" applyBorder="1" applyAlignment="1">
      <alignment horizontal="center" vertical="center" wrapText="1"/>
    </xf>
    <xf numFmtId="186" fontId="29" fillId="0" borderId="3" xfId="1" applyNumberFormat="1" applyFont="1" applyFill="1" applyBorder="1" applyAlignment="1">
      <alignment horizontal="center" vertical="center"/>
    </xf>
    <xf numFmtId="0" fontId="28" fillId="5" borderId="3" xfId="3" applyFont="1" applyFill="1" applyBorder="1" applyAlignment="1">
      <alignment horizontal="center" vertical="center" wrapText="1" shrinkToFit="1"/>
    </xf>
    <xf numFmtId="0" fontId="28" fillId="5" borderId="3" xfId="0" applyFont="1" applyFill="1" applyBorder="1" applyAlignment="1">
      <alignment horizontal="center" vertical="center"/>
    </xf>
    <xf numFmtId="0" fontId="30" fillId="7" borderId="3" xfId="0" applyFont="1" applyFill="1" applyBorder="1" applyAlignment="1">
      <alignment horizontal="center" vertical="center"/>
    </xf>
    <xf numFmtId="41" fontId="28" fillId="5" borderId="3" xfId="24" applyFont="1" applyFill="1" applyBorder="1" applyAlignment="1">
      <alignment horizontal="center" vertical="center"/>
    </xf>
    <xf numFmtId="0" fontId="29" fillId="0" borderId="23" xfId="0" applyFont="1" applyBorder="1" applyAlignment="1">
      <alignment horizontal="center" vertical="center"/>
    </xf>
    <xf numFmtId="49" fontId="29" fillId="7" borderId="3" xfId="0" applyNumberFormat="1" applyFont="1" applyFill="1" applyBorder="1" applyAlignment="1">
      <alignment horizontal="center" vertical="center" wrapText="1"/>
    </xf>
    <xf numFmtId="0" fontId="28" fillId="5" borderId="3" xfId="0" applyFont="1" applyFill="1" applyBorder="1" applyAlignment="1">
      <alignment horizontal="center" vertical="center" wrapText="1"/>
    </xf>
    <xf numFmtId="0" fontId="31" fillId="0" borderId="23" xfId="0" applyFont="1" applyBorder="1" applyAlignment="1">
      <alignment horizontal="center" vertical="center"/>
    </xf>
    <xf numFmtId="185" fontId="28" fillId="5" borderId="3" xfId="1" applyNumberFormat="1" applyFont="1" applyFill="1" applyBorder="1" applyAlignment="1">
      <alignment horizontal="center" vertical="center"/>
    </xf>
    <xf numFmtId="185" fontId="19" fillId="0" borderId="1" xfId="1" applyNumberFormat="1" applyFont="1" applyBorder="1" applyAlignment="1">
      <alignment horizontal="center" vertical="center"/>
    </xf>
    <xf numFmtId="0" fontId="18" fillId="0" borderId="0" xfId="6" applyFont="1" applyAlignment="1">
      <alignment horizontal="center" vertical="center"/>
    </xf>
    <xf numFmtId="0" fontId="21" fillId="0" borderId="0" xfId="6" applyFont="1" applyAlignment="1">
      <alignment vertical="center"/>
    </xf>
    <xf numFmtId="0" fontId="20" fillId="0" borderId="0" xfId="6" applyFont="1" applyAlignment="1">
      <alignment vertical="center"/>
    </xf>
    <xf numFmtId="0" fontId="15" fillId="0" borderId="4" xfId="6" applyFont="1" applyBorder="1" applyAlignment="1">
      <alignment vertical="center"/>
    </xf>
    <xf numFmtId="0" fontId="15" fillId="0" borderId="5" xfId="6" applyFont="1" applyBorder="1" applyAlignment="1">
      <alignment vertical="center"/>
    </xf>
    <xf numFmtId="0" fontId="15" fillId="0" borderId="6" xfId="6" applyFont="1" applyBorder="1" applyAlignment="1">
      <alignment vertical="center"/>
    </xf>
    <xf numFmtId="0" fontId="27" fillId="5" borderId="33" xfId="0" applyFont="1" applyFill="1" applyBorder="1" applyAlignment="1">
      <alignment horizontal="center" vertical="center" wrapText="1"/>
    </xf>
    <xf numFmtId="0" fontId="22" fillId="5" borderId="33" xfId="0" applyFont="1" applyFill="1" applyBorder="1" applyAlignment="1">
      <alignment horizontal="center" vertical="center" wrapText="1"/>
    </xf>
    <xf numFmtId="0" fontId="23" fillId="0" borderId="0" xfId="0" applyFont="1" applyAlignment="1">
      <alignment horizontal="center" vertical="center"/>
    </xf>
    <xf numFmtId="0" fontId="19" fillId="0" borderId="30" xfId="0" applyFont="1" applyBorder="1" applyAlignment="1">
      <alignment horizontal="center" vertical="center"/>
    </xf>
    <xf numFmtId="0" fontId="19" fillId="0" borderId="23" xfId="0" applyFont="1" applyBorder="1" applyAlignment="1">
      <alignment horizontal="center" vertical="center"/>
    </xf>
    <xf numFmtId="0" fontId="23" fillId="0" borderId="21" xfId="0" applyFont="1" applyBorder="1" applyAlignment="1">
      <alignment horizontal="center" vertical="center"/>
    </xf>
    <xf numFmtId="0" fontId="23" fillId="9" borderId="3" xfId="0" applyFont="1" applyFill="1" applyBorder="1" applyAlignment="1">
      <alignment horizontal="center" vertical="center"/>
    </xf>
    <xf numFmtId="177" fontId="23" fillId="4" borderId="21" xfId="4" applyFont="1" applyFill="1" applyBorder="1" applyAlignment="1">
      <alignment horizontal="center" vertical="center"/>
    </xf>
    <xf numFmtId="178" fontId="23" fillId="4" borderId="21" xfId="5" applyFont="1" applyFill="1" applyBorder="1" applyAlignment="1">
      <alignment horizontal="center" vertical="center"/>
    </xf>
    <xf numFmtId="0" fontId="23" fillId="4" borderId="21" xfId="0" applyFont="1" applyFill="1" applyBorder="1" applyAlignment="1">
      <alignment horizontal="center" vertical="center"/>
    </xf>
    <xf numFmtId="0" fontId="23" fillId="4" borderId="3" xfId="0" applyFont="1" applyFill="1" applyBorder="1" applyAlignment="1">
      <alignment horizontal="center" vertical="center"/>
    </xf>
    <xf numFmtId="0" fontId="23" fillId="4" borderId="21" xfId="3" applyFont="1" applyFill="1" applyBorder="1" applyAlignment="1">
      <alignment horizontal="center" vertical="center"/>
    </xf>
    <xf numFmtId="0" fontId="23" fillId="4" borderId="3" xfId="3" applyFont="1" applyFill="1" applyBorder="1" applyAlignment="1">
      <alignment horizontal="center" vertical="center"/>
    </xf>
    <xf numFmtId="0" fontId="23" fillId="4" borderId="21" xfId="3" applyFont="1" applyFill="1" applyBorder="1" applyAlignment="1">
      <alignment horizontal="center" vertical="center" wrapText="1"/>
    </xf>
  </cellXfs>
  <cellStyles count="25">
    <cellStyle name="백분율" xfId="2" builtinId="5"/>
    <cellStyle name="백분율 2 64" xfId="9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8" xr:uid="{9DE5560C-89D3-4234-A527-EA49B53D4971}"/>
    <cellStyle name="쉼표 [0] 2 2 29" xfId="13" xr:uid="{00000000-0005-0000-0000-000005000000}"/>
    <cellStyle name="쉼표 [0] 2 4" xfId="24" xr:uid="{A0E64BFC-0D18-4B67-8D52-4776A84064CF}"/>
    <cellStyle name="쉼표 [0] 2 4 3" xfId="21" xr:uid="{99214C93-BE46-4C58-8C44-80B8C6815BFB}"/>
    <cellStyle name="쉼표 [0] 3" xfId="16" xr:uid="{8F7BE219-40E1-4BBB-A9BD-02188B74B2A3}"/>
    <cellStyle name="쉼표 [0] 5" xfId="23" xr:uid="{312AFDAB-9C28-4A56-86B4-BB189647FDB9}"/>
    <cellStyle name="쉼표 [0]_봉강빌딩신축공사" xfId="7" xr:uid="{00000000-0005-0000-0000-000006000000}"/>
    <cellStyle name="통화 [0] 2 2" xfId="12" xr:uid="{00000000-0005-0000-0000-000007000000}"/>
    <cellStyle name="표준" xfId="0" builtinId="0"/>
    <cellStyle name="표준 10 10 2" xfId="3" xr:uid="{00000000-0005-0000-0000-000009000000}"/>
    <cellStyle name="표준 10 31" xfId="11" xr:uid="{00000000-0005-0000-0000-00000A000000}"/>
    <cellStyle name="표준 2" xfId="8" xr:uid="{00000000-0005-0000-0000-00000B000000}"/>
    <cellStyle name="표준 2 10 5" xfId="10" xr:uid="{00000000-0005-0000-0000-00000C000000}"/>
    <cellStyle name="표준 3" xfId="14" xr:uid="{00000000-0005-0000-0000-00000D000000}"/>
    <cellStyle name="표준 4" xfId="15" xr:uid="{08D43F33-5EF4-4FAF-B422-8A71947BBD29}"/>
    <cellStyle name="표준 5" xfId="17" xr:uid="{B39ACF8E-5B1E-4331-957C-34579729CB23}"/>
    <cellStyle name="표준 5 2" xfId="19" xr:uid="{B476147B-5E36-4C13-9919-3A8145950663}"/>
    <cellStyle name="표준 5 2 2" xfId="22" xr:uid="{7AC8D4B0-5347-4B82-9BEC-EE79AD352978}"/>
    <cellStyle name="표준 7 4" xfId="20" xr:uid="{8A680FEF-D3DB-46AD-B486-E41DA8099926}"/>
    <cellStyle name="표준_봉강빌딩신축공사" xfId="6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3" name="Picture 1" descr="세원도장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" name="Picture 6" descr="도장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5" name="Picture 1" descr="세원도장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" name="Picture 6" descr="도장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" name="Picture 6" descr="도장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" name="Picture 6" descr="도장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" name="Picture 6" descr="도장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8" name="Picture 6" descr="도장">
          <a:extLst>
            <a:ext uri="{FF2B5EF4-FFF2-40B4-BE49-F238E27FC236}">
              <a16:creationId xmlns:a16="http://schemas.microsoft.com/office/drawing/2014/main" id="{58F3E340-E599-46BE-9E8C-FA96064F7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1" name="Picture 1" descr="세원도장">
          <a:extLst>
            <a:ext uri="{FF2B5EF4-FFF2-40B4-BE49-F238E27FC236}">
              <a16:creationId xmlns:a16="http://schemas.microsoft.com/office/drawing/2014/main" id="{BFD26053-C86C-454F-BAAE-C22BD44A9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" name="Picture 6" descr="도장">
          <a:extLst>
            <a:ext uri="{FF2B5EF4-FFF2-40B4-BE49-F238E27FC236}">
              <a16:creationId xmlns:a16="http://schemas.microsoft.com/office/drawing/2014/main" id="{EB347FB3-564D-4B15-9EBC-B07BC58EB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3" name="Picture 1" descr="세원도장">
          <a:extLst>
            <a:ext uri="{FF2B5EF4-FFF2-40B4-BE49-F238E27FC236}">
              <a16:creationId xmlns:a16="http://schemas.microsoft.com/office/drawing/2014/main" id="{B0ACC25C-A4C6-482A-80E1-3B27B1DCE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4" name="Picture 1" descr="세원도장">
          <a:extLst>
            <a:ext uri="{FF2B5EF4-FFF2-40B4-BE49-F238E27FC236}">
              <a16:creationId xmlns:a16="http://schemas.microsoft.com/office/drawing/2014/main" id="{9FD6EC32-C5A1-471A-BA27-6604E1161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5" name="Picture 1" descr="세원도장">
          <a:extLst>
            <a:ext uri="{FF2B5EF4-FFF2-40B4-BE49-F238E27FC236}">
              <a16:creationId xmlns:a16="http://schemas.microsoft.com/office/drawing/2014/main" id="{C025AE9D-6D75-4C0B-8D39-B52F57D41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6" name="Picture 1" descr="세원도장">
          <a:extLst>
            <a:ext uri="{FF2B5EF4-FFF2-40B4-BE49-F238E27FC236}">
              <a16:creationId xmlns:a16="http://schemas.microsoft.com/office/drawing/2014/main" id="{3DB1C1D3-5E0E-48D9-8440-A0F822117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7" name="Picture 1" descr="세원도장">
          <a:extLst>
            <a:ext uri="{FF2B5EF4-FFF2-40B4-BE49-F238E27FC236}">
              <a16:creationId xmlns:a16="http://schemas.microsoft.com/office/drawing/2014/main" id="{4725828D-394F-41BF-B914-794E48891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8" name="Picture 1" descr="세원도장">
          <a:extLst>
            <a:ext uri="{FF2B5EF4-FFF2-40B4-BE49-F238E27FC236}">
              <a16:creationId xmlns:a16="http://schemas.microsoft.com/office/drawing/2014/main" id="{89DC7C37-23EB-42F3-AFCB-BCC68DE44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9" name="Picture 1" descr="세원도장">
          <a:extLst>
            <a:ext uri="{FF2B5EF4-FFF2-40B4-BE49-F238E27FC236}">
              <a16:creationId xmlns:a16="http://schemas.microsoft.com/office/drawing/2014/main" id="{E44C58A3-246E-4D32-B978-6FBC162FC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0" name="Picture 1" descr="세원도장">
          <a:extLst>
            <a:ext uri="{FF2B5EF4-FFF2-40B4-BE49-F238E27FC236}">
              <a16:creationId xmlns:a16="http://schemas.microsoft.com/office/drawing/2014/main" id="{5EE48E27-9484-4AF6-BAF4-E237DD04B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1" name="Picture 1" descr="세원도장">
          <a:extLst>
            <a:ext uri="{FF2B5EF4-FFF2-40B4-BE49-F238E27FC236}">
              <a16:creationId xmlns:a16="http://schemas.microsoft.com/office/drawing/2014/main" id="{D7569884-D0FA-4298-A9F7-2F8EA3258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2" name="Picture 1" descr="세원도장">
          <a:extLst>
            <a:ext uri="{FF2B5EF4-FFF2-40B4-BE49-F238E27FC236}">
              <a16:creationId xmlns:a16="http://schemas.microsoft.com/office/drawing/2014/main" id="{D6D71E39-AE40-4897-B67E-4DC47E051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3" name="Picture 1" descr="세원도장">
          <a:extLst>
            <a:ext uri="{FF2B5EF4-FFF2-40B4-BE49-F238E27FC236}">
              <a16:creationId xmlns:a16="http://schemas.microsoft.com/office/drawing/2014/main" id="{8A6A7AA3-8F11-4252-A916-4910E00B3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4" name="Picture 1" descr="세원도장">
          <a:extLst>
            <a:ext uri="{FF2B5EF4-FFF2-40B4-BE49-F238E27FC236}">
              <a16:creationId xmlns:a16="http://schemas.microsoft.com/office/drawing/2014/main" id="{954762A1-D062-42BE-BB04-A042C39AA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5" name="Picture 1" descr="세원도장">
          <a:extLst>
            <a:ext uri="{FF2B5EF4-FFF2-40B4-BE49-F238E27FC236}">
              <a16:creationId xmlns:a16="http://schemas.microsoft.com/office/drawing/2014/main" id="{DB13B384-02D2-4A89-BABB-F0AAAE9DE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6" name="Picture 1" descr="세원도장">
          <a:extLst>
            <a:ext uri="{FF2B5EF4-FFF2-40B4-BE49-F238E27FC236}">
              <a16:creationId xmlns:a16="http://schemas.microsoft.com/office/drawing/2014/main" id="{58266D4E-D6D1-41BA-8021-F45C27F1B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7" name="Picture 1" descr="세원도장">
          <a:extLst>
            <a:ext uri="{FF2B5EF4-FFF2-40B4-BE49-F238E27FC236}">
              <a16:creationId xmlns:a16="http://schemas.microsoft.com/office/drawing/2014/main" id="{9EF17E01-878E-45A1-8E21-32C0F8911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8" name="Picture 1" descr="세원도장">
          <a:extLst>
            <a:ext uri="{FF2B5EF4-FFF2-40B4-BE49-F238E27FC236}">
              <a16:creationId xmlns:a16="http://schemas.microsoft.com/office/drawing/2014/main" id="{6E2D99E9-30AE-4708-B321-B4EE6083C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9" name="Picture 1" descr="세원도장">
          <a:extLst>
            <a:ext uri="{FF2B5EF4-FFF2-40B4-BE49-F238E27FC236}">
              <a16:creationId xmlns:a16="http://schemas.microsoft.com/office/drawing/2014/main" id="{1DE30400-F6C4-433B-9528-AB2FF1C77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0" name="Picture 1" descr="세원도장">
          <a:extLst>
            <a:ext uri="{FF2B5EF4-FFF2-40B4-BE49-F238E27FC236}">
              <a16:creationId xmlns:a16="http://schemas.microsoft.com/office/drawing/2014/main" id="{64B389D0-D427-4BE4-ADEC-297FE3946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1" name="Picture 1" descr="세원도장">
          <a:extLst>
            <a:ext uri="{FF2B5EF4-FFF2-40B4-BE49-F238E27FC236}">
              <a16:creationId xmlns:a16="http://schemas.microsoft.com/office/drawing/2014/main" id="{DAB75B71-B2B3-4422-985B-372E94B02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2" name="Picture 1" descr="세원도장">
          <a:extLst>
            <a:ext uri="{FF2B5EF4-FFF2-40B4-BE49-F238E27FC236}">
              <a16:creationId xmlns:a16="http://schemas.microsoft.com/office/drawing/2014/main" id="{D0B769DC-8325-403A-921F-393C1FC82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3" name="Picture 1" descr="세원도장">
          <a:extLst>
            <a:ext uri="{FF2B5EF4-FFF2-40B4-BE49-F238E27FC236}">
              <a16:creationId xmlns:a16="http://schemas.microsoft.com/office/drawing/2014/main" id="{8BF8F784-9BCC-4B37-8359-D7EA98F30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4" name="Picture 1" descr="세원도장">
          <a:extLst>
            <a:ext uri="{FF2B5EF4-FFF2-40B4-BE49-F238E27FC236}">
              <a16:creationId xmlns:a16="http://schemas.microsoft.com/office/drawing/2014/main" id="{30C40510-27D0-4954-853C-90BAB02D0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5" name="Picture 1" descr="세원도장">
          <a:extLst>
            <a:ext uri="{FF2B5EF4-FFF2-40B4-BE49-F238E27FC236}">
              <a16:creationId xmlns:a16="http://schemas.microsoft.com/office/drawing/2014/main" id="{F2CF8535-B92B-4423-8225-AF99190B1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6" name="Picture 6" descr="도장">
          <a:extLst>
            <a:ext uri="{FF2B5EF4-FFF2-40B4-BE49-F238E27FC236}">
              <a16:creationId xmlns:a16="http://schemas.microsoft.com/office/drawing/2014/main" id="{36E5D8DF-282B-4AFB-9369-75E391C13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7" name="Picture 1" descr="세원도장">
          <a:extLst>
            <a:ext uri="{FF2B5EF4-FFF2-40B4-BE49-F238E27FC236}">
              <a16:creationId xmlns:a16="http://schemas.microsoft.com/office/drawing/2014/main" id="{E832764B-732E-4A88-A739-BDD2449AF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8" name="Picture 6" descr="도장">
          <a:extLst>
            <a:ext uri="{FF2B5EF4-FFF2-40B4-BE49-F238E27FC236}">
              <a16:creationId xmlns:a16="http://schemas.microsoft.com/office/drawing/2014/main" id="{B87FA265-8E5E-480B-A3F2-69DC37F17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9" name="Picture 1" descr="세원도장">
          <a:extLst>
            <a:ext uri="{FF2B5EF4-FFF2-40B4-BE49-F238E27FC236}">
              <a16:creationId xmlns:a16="http://schemas.microsoft.com/office/drawing/2014/main" id="{F6C26153-CD90-476A-BFCA-A3CE30B11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0" name="Picture 6" descr="도장">
          <a:extLst>
            <a:ext uri="{FF2B5EF4-FFF2-40B4-BE49-F238E27FC236}">
              <a16:creationId xmlns:a16="http://schemas.microsoft.com/office/drawing/2014/main" id="{0D360081-209A-49ED-9C8F-91B0D4512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1" name="Picture 6" descr="도장">
          <a:extLst>
            <a:ext uri="{FF2B5EF4-FFF2-40B4-BE49-F238E27FC236}">
              <a16:creationId xmlns:a16="http://schemas.microsoft.com/office/drawing/2014/main" id="{8A8E1C8F-C925-41E1-A4A6-29679FB53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2" name="Picture 6" descr="도장">
          <a:extLst>
            <a:ext uri="{FF2B5EF4-FFF2-40B4-BE49-F238E27FC236}">
              <a16:creationId xmlns:a16="http://schemas.microsoft.com/office/drawing/2014/main" id="{0364B22F-A0B2-409E-AB28-C930DBFEB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3" name="Picture 6" descr="도장">
          <a:extLst>
            <a:ext uri="{FF2B5EF4-FFF2-40B4-BE49-F238E27FC236}">
              <a16:creationId xmlns:a16="http://schemas.microsoft.com/office/drawing/2014/main" id="{8AC2503E-024C-44E1-90FD-DDCBC3EFA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4" name="Picture 6" descr="도장">
          <a:extLst>
            <a:ext uri="{FF2B5EF4-FFF2-40B4-BE49-F238E27FC236}">
              <a16:creationId xmlns:a16="http://schemas.microsoft.com/office/drawing/2014/main" id="{9C10EB2C-6EA8-45BD-A0BC-9C5BC48AA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5" name="Picture 1" descr="세원도장">
          <a:extLst>
            <a:ext uri="{FF2B5EF4-FFF2-40B4-BE49-F238E27FC236}">
              <a16:creationId xmlns:a16="http://schemas.microsoft.com/office/drawing/2014/main" id="{00D1DDBB-AD45-4E44-BF68-CE1EA1EAD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6" name="Picture 6" descr="도장">
          <a:extLst>
            <a:ext uri="{FF2B5EF4-FFF2-40B4-BE49-F238E27FC236}">
              <a16:creationId xmlns:a16="http://schemas.microsoft.com/office/drawing/2014/main" id="{34472790-6475-47E3-A06A-262CE3FE2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7" name="Picture 1" descr="세원도장">
          <a:extLst>
            <a:ext uri="{FF2B5EF4-FFF2-40B4-BE49-F238E27FC236}">
              <a16:creationId xmlns:a16="http://schemas.microsoft.com/office/drawing/2014/main" id="{4F6FB9E9-4CC3-4C5E-91AC-6EB7792C1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8" name="Picture 1" descr="세원도장">
          <a:extLst>
            <a:ext uri="{FF2B5EF4-FFF2-40B4-BE49-F238E27FC236}">
              <a16:creationId xmlns:a16="http://schemas.microsoft.com/office/drawing/2014/main" id="{202516F6-3335-4CF7-B049-55CEBD9EC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9" name="Picture 1" descr="세원도장">
          <a:extLst>
            <a:ext uri="{FF2B5EF4-FFF2-40B4-BE49-F238E27FC236}">
              <a16:creationId xmlns:a16="http://schemas.microsoft.com/office/drawing/2014/main" id="{B1093FD1-2980-41D3-859A-6CE645BE2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0" name="Picture 1" descr="세원도장">
          <a:extLst>
            <a:ext uri="{FF2B5EF4-FFF2-40B4-BE49-F238E27FC236}">
              <a16:creationId xmlns:a16="http://schemas.microsoft.com/office/drawing/2014/main" id="{D9592157-FDD7-4C21-B4B9-44337520B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1" name="Picture 1" descr="세원도장">
          <a:extLst>
            <a:ext uri="{FF2B5EF4-FFF2-40B4-BE49-F238E27FC236}">
              <a16:creationId xmlns:a16="http://schemas.microsoft.com/office/drawing/2014/main" id="{DBFF5F32-7AEA-4009-8317-4C62DE947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2" name="Picture 1" descr="세원도장">
          <a:extLst>
            <a:ext uri="{FF2B5EF4-FFF2-40B4-BE49-F238E27FC236}">
              <a16:creationId xmlns:a16="http://schemas.microsoft.com/office/drawing/2014/main" id="{426F5045-B9EA-479F-BF55-BCA673967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3" name="Picture 1" descr="세원도장">
          <a:extLst>
            <a:ext uri="{FF2B5EF4-FFF2-40B4-BE49-F238E27FC236}">
              <a16:creationId xmlns:a16="http://schemas.microsoft.com/office/drawing/2014/main" id="{98FDE52D-2CEE-40AC-9D40-20E6EC116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4" name="Picture 1" descr="세원도장">
          <a:extLst>
            <a:ext uri="{FF2B5EF4-FFF2-40B4-BE49-F238E27FC236}">
              <a16:creationId xmlns:a16="http://schemas.microsoft.com/office/drawing/2014/main" id="{58905083-0D49-41C2-A6E8-3CC0EE506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5" name="Picture 1" descr="세원도장">
          <a:extLst>
            <a:ext uri="{FF2B5EF4-FFF2-40B4-BE49-F238E27FC236}">
              <a16:creationId xmlns:a16="http://schemas.microsoft.com/office/drawing/2014/main" id="{79925FA0-10EF-4738-8560-FD0B4ED00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6" name="Picture 1" descr="세원도장">
          <a:extLst>
            <a:ext uri="{FF2B5EF4-FFF2-40B4-BE49-F238E27FC236}">
              <a16:creationId xmlns:a16="http://schemas.microsoft.com/office/drawing/2014/main" id="{B45AF68E-E086-4275-BD9B-1D362E532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7" name="Picture 1" descr="세원도장">
          <a:extLst>
            <a:ext uri="{FF2B5EF4-FFF2-40B4-BE49-F238E27FC236}">
              <a16:creationId xmlns:a16="http://schemas.microsoft.com/office/drawing/2014/main" id="{91C30C8D-412A-4320-B790-2152646DF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8" name="Picture 1" descr="세원도장">
          <a:extLst>
            <a:ext uri="{FF2B5EF4-FFF2-40B4-BE49-F238E27FC236}">
              <a16:creationId xmlns:a16="http://schemas.microsoft.com/office/drawing/2014/main" id="{58FF05B5-A94B-4155-87A2-7BF77EF1D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9" name="Picture 1" descr="세원도장">
          <a:extLst>
            <a:ext uri="{FF2B5EF4-FFF2-40B4-BE49-F238E27FC236}">
              <a16:creationId xmlns:a16="http://schemas.microsoft.com/office/drawing/2014/main" id="{425971EC-1351-4861-A73F-FA984FD1E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0" name="Picture 1" descr="세원도장">
          <a:extLst>
            <a:ext uri="{FF2B5EF4-FFF2-40B4-BE49-F238E27FC236}">
              <a16:creationId xmlns:a16="http://schemas.microsoft.com/office/drawing/2014/main" id="{F1C4241F-0E15-4217-B984-EC6D2A294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1" name="Picture 1" descr="세원도장">
          <a:extLst>
            <a:ext uri="{FF2B5EF4-FFF2-40B4-BE49-F238E27FC236}">
              <a16:creationId xmlns:a16="http://schemas.microsoft.com/office/drawing/2014/main" id="{52DD8E77-DCD7-49D1-A6D5-C06F5F353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2" name="Picture 1" descr="세원도장">
          <a:extLst>
            <a:ext uri="{FF2B5EF4-FFF2-40B4-BE49-F238E27FC236}">
              <a16:creationId xmlns:a16="http://schemas.microsoft.com/office/drawing/2014/main" id="{3DAF327B-D985-4425-96E1-9E4AA6233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3" name="Picture 1" descr="세원도장">
          <a:extLst>
            <a:ext uri="{FF2B5EF4-FFF2-40B4-BE49-F238E27FC236}">
              <a16:creationId xmlns:a16="http://schemas.microsoft.com/office/drawing/2014/main" id="{10F7F231-286B-4162-87FC-B7BB3D1DB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4" name="Picture 1" descr="세원도장">
          <a:extLst>
            <a:ext uri="{FF2B5EF4-FFF2-40B4-BE49-F238E27FC236}">
              <a16:creationId xmlns:a16="http://schemas.microsoft.com/office/drawing/2014/main" id="{7803E51A-39CE-41C6-A305-B48BABE81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5" name="Picture 1" descr="세원도장">
          <a:extLst>
            <a:ext uri="{FF2B5EF4-FFF2-40B4-BE49-F238E27FC236}">
              <a16:creationId xmlns:a16="http://schemas.microsoft.com/office/drawing/2014/main" id="{D0C929EA-52BE-4E0C-A70D-81EA999F3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6" name="Picture 1" descr="세원도장">
          <a:extLst>
            <a:ext uri="{FF2B5EF4-FFF2-40B4-BE49-F238E27FC236}">
              <a16:creationId xmlns:a16="http://schemas.microsoft.com/office/drawing/2014/main" id="{588B6B4C-D21F-4952-B8D8-8932F5650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7" name="Picture 1" descr="세원도장">
          <a:extLst>
            <a:ext uri="{FF2B5EF4-FFF2-40B4-BE49-F238E27FC236}">
              <a16:creationId xmlns:a16="http://schemas.microsoft.com/office/drawing/2014/main" id="{A420B6B8-D29B-4A92-B6A3-DADFE6E13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8" name="Picture 1" descr="세원도장">
          <a:extLst>
            <a:ext uri="{FF2B5EF4-FFF2-40B4-BE49-F238E27FC236}">
              <a16:creationId xmlns:a16="http://schemas.microsoft.com/office/drawing/2014/main" id="{4B1ED88C-D99A-47D5-B35D-0F4C5D6E3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9" name="Picture 1" descr="세원도장">
          <a:extLst>
            <a:ext uri="{FF2B5EF4-FFF2-40B4-BE49-F238E27FC236}">
              <a16:creationId xmlns:a16="http://schemas.microsoft.com/office/drawing/2014/main" id="{CF05C864-8446-40E4-AB30-895CDA177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0" name="Picture 6" descr="도장">
          <a:extLst>
            <a:ext uri="{FF2B5EF4-FFF2-40B4-BE49-F238E27FC236}">
              <a16:creationId xmlns:a16="http://schemas.microsoft.com/office/drawing/2014/main" id="{963B62DC-E534-43FD-B562-4E35C9E74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1" name="Picture 1" descr="세원도장">
          <a:extLst>
            <a:ext uri="{FF2B5EF4-FFF2-40B4-BE49-F238E27FC236}">
              <a16:creationId xmlns:a16="http://schemas.microsoft.com/office/drawing/2014/main" id="{0468753B-EC5D-4D2C-9EF5-52BB0BBE5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2" name="Picture 6" descr="도장">
          <a:extLst>
            <a:ext uri="{FF2B5EF4-FFF2-40B4-BE49-F238E27FC236}">
              <a16:creationId xmlns:a16="http://schemas.microsoft.com/office/drawing/2014/main" id="{14FA63F9-4DF2-4FE3-94B6-8EB84EC36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3" name="Picture 1" descr="세원도장">
          <a:extLst>
            <a:ext uri="{FF2B5EF4-FFF2-40B4-BE49-F238E27FC236}">
              <a16:creationId xmlns:a16="http://schemas.microsoft.com/office/drawing/2014/main" id="{EC991305-C3CA-4EF4-AAFD-DCE38C5A2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4" name="Picture 1" descr="세원도장">
          <a:extLst>
            <a:ext uri="{FF2B5EF4-FFF2-40B4-BE49-F238E27FC236}">
              <a16:creationId xmlns:a16="http://schemas.microsoft.com/office/drawing/2014/main" id="{9D85CB60-7F15-4C6F-A4AD-0030B9FD2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5" name="Picture 1" descr="세원도장">
          <a:extLst>
            <a:ext uri="{FF2B5EF4-FFF2-40B4-BE49-F238E27FC236}">
              <a16:creationId xmlns:a16="http://schemas.microsoft.com/office/drawing/2014/main" id="{6C046020-B4D4-4BE8-8FD4-A910DA1FA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6" name="Picture 1" descr="세원도장">
          <a:extLst>
            <a:ext uri="{FF2B5EF4-FFF2-40B4-BE49-F238E27FC236}">
              <a16:creationId xmlns:a16="http://schemas.microsoft.com/office/drawing/2014/main" id="{6DCDEEA6-4AF0-4679-AFB8-3C4533980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7" name="Picture 1" descr="세원도장">
          <a:extLst>
            <a:ext uri="{FF2B5EF4-FFF2-40B4-BE49-F238E27FC236}">
              <a16:creationId xmlns:a16="http://schemas.microsoft.com/office/drawing/2014/main" id="{C1C9DBCD-9DAA-44CA-8689-E7770167D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8" name="Picture 1" descr="세원도장">
          <a:extLst>
            <a:ext uri="{FF2B5EF4-FFF2-40B4-BE49-F238E27FC236}">
              <a16:creationId xmlns:a16="http://schemas.microsoft.com/office/drawing/2014/main" id="{04572688-08B2-481B-B684-A6908302E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9" name="Picture 1" descr="세원도장">
          <a:extLst>
            <a:ext uri="{FF2B5EF4-FFF2-40B4-BE49-F238E27FC236}">
              <a16:creationId xmlns:a16="http://schemas.microsoft.com/office/drawing/2014/main" id="{57B85ECD-AB2E-4AA2-80CF-F7028EC59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0" name="Picture 1" descr="세원도장">
          <a:extLst>
            <a:ext uri="{FF2B5EF4-FFF2-40B4-BE49-F238E27FC236}">
              <a16:creationId xmlns:a16="http://schemas.microsoft.com/office/drawing/2014/main" id="{1E85B33F-E4FC-4FAF-BD59-7F1861592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1" name="Picture 1" descr="세원도장">
          <a:extLst>
            <a:ext uri="{FF2B5EF4-FFF2-40B4-BE49-F238E27FC236}">
              <a16:creationId xmlns:a16="http://schemas.microsoft.com/office/drawing/2014/main" id="{324C4B55-4A51-4DCE-BCB5-DDF388E59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2" name="Picture 1" descr="세원도장">
          <a:extLst>
            <a:ext uri="{FF2B5EF4-FFF2-40B4-BE49-F238E27FC236}">
              <a16:creationId xmlns:a16="http://schemas.microsoft.com/office/drawing/2014/main" id="{DCC4F479-45BA-4CFC-ABA5-A83BBA1F8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3" name="Picture 1" descr="세원도장">
          <a:extLst>
            <a:ext uri="{FF2B5EF4-FFF2-40B4-BE49-F238E27FC236}">
              <a16:creationId xmlns:a16="http://schemas.microsoft.com/office/drawing/2014/main" id="{CD8D305C-EC69-4858-AB70-8170AA563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4" name="Picture 1" descr="세원도장">
          <a:extLst>
            <a:ext uri="{FF2B5EF4-FFF2-40B4-BE49-F238E27FC236}">
              <a16:creationId xmlns:a16="http://schemas.microsoft.com/office/drawing/2014/main" id="{22DDF8EE-3E26-4171-8732-AE556380F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5" name="Picture 1" descr="세원도장">
          <a:extLst>
            <a:ext uri="{FF2B5EF4-FFF2-40B4-BE49-F238E27FC236}">
              <a16:creationId xmlns:a16="http://schemas.microsoft.com/office/drawing/2014/main" id="{E2AB7C2F-EFAC-4C58-B6D0-022A8CD70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6" name="Picture 1" descr="세원도장">
          <a:extLst>
            <a:ext uri="{FF2B5EF4-FFF2-40B4-BE49-F238E27FC236}">
              <a16:creationId xmlns:a16="http://schemas.microsoft.com/office/drawing/2014/main" id="{F9397D94-93A3-49E6-A208-D673C3A47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7" name="Picture 1" descr="세원도장">
          <a:extLst>
            <a:ext uri="{FF2B5EF4-FFF2-40B4-BE49-F238E27FC236}">
              <a16:creationId xmlns:a16="http://schemas.microsoft.com/office/drawing/2014/main" id="{8123E8B4-A1DE-4C47-B4E2-67FF23B25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8" name="Picture 1" descr="세원도장">
          <a:extLst>
            <a:ext uri="{FF2B5EF4-FFF2-40B4-BE49-F238E27FC236}">
              <a16:creationId xmlns:a16="http://schemas.microsoft.com/office/drawing/2014/main" id="{8F924FED-9869-466F-AF6E-62E735A37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9" name="Picture 1" descr="세원도장">
          <a:extLst>
            <a:ext uri="{FF2B5EF4-FFF2-40B4-BE49-F238E27FC236}">
              <a16:creationId xmlns:a16="http://schemas.microsoft.com/office/drawing/2014/main" id="{4A5B6436-7E66-4C2E-B005-A061C8232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0" name="Picture 1" descr="세원도장">
          <a:extLst>
            <a:ext uri="{FF2B5EF4-FFF2-40B4-BE49-F238E27FC236}">
              <a16:creationId xmlns:a16="http://schemas.microsoft.com/office/drawing/2014/main" id="{40ADFC0D-539D-49E3-BD30-F692CAFC0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1" name="Picture 1" descr="세원도장">
          <a:extLst>
            <a:ext uri="{FF2B5EF4-FFF2-40B4-BE49-F238E27FC236}">
              <a16:creationId xmlns:a16="http://schemas.microsoft.com/office/drawing/2014/main" id="{2EE42A78-B3C9-4E0A-B2D7-70E93A0E2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2" name="Picture 1" descr="세원도장">
          <a:extLst>
            <a:ext uri="{FF2B5EF4-FFF2-40B4-BE49-F238E27FC236}">
              <a16:creationId xmlns:a16="http://schemas.microsoft.com/office/drawing/2014/main" id="{EE7FC3C8-4E3C-4927-89D8-FBF418AF9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3" name="Picture 1" descr="세원도장">
          <a:extLst>
            <a:ext uri="{FF2B5EF4-FFF2-40B4-BE49-F238E27FC236}">
              <a16:creationId xmlns:a16="http://schemas.microsoft.com/office/drawing/2014/main" id="{6295CE8B-20A5-440D-8D7F-79E4810B5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4" name="Picture 1" descr="세원도장">
          <a:extLst>
            <a:ext uri="{FF2B5EF4-FFF2-40B4-BE49-F238E27FC236}">
              <a16:creationId xmlns:a16="http://schemas.microsoft.com/office/drawing/2014/main" id="{36ABFAC6-BB4F-462B-ACD3-474AA9642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5" name="Picture 1" descr="세원도장">
          <a:extLst>
            <a:ext uri="{FF2B5EF4-FFF2-40B4-BE49-F238E27FC236}">
              <a16:creationId xmlns:a16="http://schemas.microsoft.com/office/drawing/2014/main" id="{B071CEEA-55F9-410A-B0FB-64E3ED50A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762000</xdr:colOff>
      <xdr:row>5</xdr:row>
      <xdr:rowOff>217714</xdr:rowOff>
    </xdr:from>
    <xdr:to>
      <xdr:col>6</xdr:col>
      <xdr:colOff>1445264</xdr:colOff>
      <xdr:row>7</xdr:row>
      <xdr:rowOff>190501</xdr:rowOff>
    </xdr:to>
    <xdr:pic>
      <xdr:nvPicPr>
        <xdr:cNvPr id="96" name="Picture 2">
          <a:extLst>
            <a:ext uri="{FF2B5EF4-FFF2-40B4-BE49-F238E27FC236}">
              <a16:creationId xmlns:a16="http://schemas.microsoft.com/office/drawing/2014/main" id="{EB6EED97-5D40-4EA3-8628-073E98298E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clrChange>
            <a:clrFrom>
              <a:srgbClr val="F3F7FF"/>
            </a:clrFrom>
            <a:clrTo>
              <a:srgbClr val="F3F7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8775700" y="1589314"/>
          <a:ext cx="683264" cy="65858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7" name="Picture 6" descr="도장">
          <a:extLst>
            <a:ext uri="{FF2B5EF4-FFF2-40B4-BE49-F238E27FC236}">
              <a16:creationId xmlns:a16="http://schemas.microsoft.com/office/drawing/2014/main" id="{42F43338-9981-4CA1-BB94-B3396B4B8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98" name="Picture 1" descr="세원도장">
          <a:extLst>
            <a:ext uri="{FF2B5EF4-FFF2-40B4-BE49-F238E27FC236}">
              <a16:creationId xmlns:a16="http://schemas.microsoft.com/office/drawing/2014/main" id="{BB22A8EB-B6E2-4207-BC19-E9720A098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9" name="Picture 6" descr="도장">
          <a:extLst>
            <a:ext uri="{FF2B5EF4-FFF2-40B4-BE49-F238E27FC236}">
              <a16:creationId xmlns:a16="http://schemas.microsoft.com/office/drawing/2014/main" id="{20A67D42-24E5-477B-B084-046732CDB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100" name="Picture 1" descr="세원도장">
          <a:extLst>
            <a:ext uri="{FF2B5EF4-FFF2-40B4-BE49-F238E27FC236}">
              <a16:creationId xmlns:a16="http://schemas.microsoft.com/office/drawing/2014/main" id="{F4C89B1E-BB9F-4A15-B847-E19F44409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1" name="Picture 6" descr="도장">
          <a:extLst>
            <a:ext uri="{FF2B5EF4-FFF2-40B4-BE49-F238E27FC236}">
              <a16:creationId xmlns:a16="http://schemas.microsoft.com/office/drawing/2014/main" id="{00CF2B0A-5D4B-4AB3-9565-75DC0E345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2" name="Picture 6" descr="도장">
          <a:extLst>
            <a:ext uri="{FF2B5EF4-FFF2-40B4-BE49-F238E27FC236}">
              <a16:creationId xmlns:a16="http://schemas.microsoft.com/office/drawing/2014/main" id="{EC37C49D-A7CF-4467-9F4F-25F4E236F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3" name="Picture 6" descr="도장">
          <a:extLst>
            <a:ext uri="{FF2B5EF4-FFF2-40B4-BE49-F238E27FC236}">
              <a16:creationId xmlns:a16="http://schemas.microsoft.com/office/drawing/2014/main" id="{C323D8D0-29FB-4282-B6A9-BF1306E87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4" name="Picture 6" descr="도장">
          <a:extLst>
            <a:ext uri="{FF2B5EF4-FFF2-40B4-BE49-F238E27FC236}">
              <a16:creationId xmlns:a16="http://schemas.microsoft.com/office/drawing/2014/main" id="{BA4632F1-2CF8-4095-A74B-F27D89CE6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5" name="Picture 6" descr="도장">
          <a:extLst>
            <a:ext uri="{FF2B5EF4-FFF2-40B4-BE49-F238E27FC236}">
              <a16:creationId xmlns:a16="http://schemas.microsoft.com/office/drawing/2014/main" id="{0E9C3B37-625A-4484-B2A5-0BEDCCA0B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6" name="Picture 1" descr="세원도장">
          <a:extLst>
            <a:ext uri="{FF2B5EF4-FFF2-40B4-BE49-F238E27FC236}">
              <a16:creationId xmlns:a16="http://schemas.microsoft.com/office/drawing/2014/main" id="{83D298DD-5E7E-4C48-9D3C-8F85FD770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7" name="Picture 6" descr="도장">
          <a:extLst>
            <a:ext uri="{FF2B5EF4-FFF2-40B4-BE49-F238E27FC236}">
              <a16:creationId xmlns:a16="http://schemas.microsoft.com/office/drawing/2014/main" id="{5302F66E-7976-4FF0-810D-E95EA4AB6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8" name="Picture 1" descr="세원도장">
          <a:extLst>
            <a:ext uri="{FF2B5EF4-FFF2-40B4-BE49-F238E27FC236}">
              <a16:creationId xmlns:a16="http://schemas.microsoft.com/office/drawing/2014/main" id="{C95DE69F-04C1-4C00-90B5-8963F76B1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9" name="Picture 6" descr="도장">
          <a:extLst>
            <a:ext uri="{FF2B5EF4-FFF2-40B4-BE49-F238E27FC236}">
              <a16:creationId xmlns:a16="http://schemas.microsoft.com/office/drawing/2014/main" id="{34A66773-CA8D-4842-AA6C-7448F14E2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0" name="Picture 6" descr="도장">
          <a:extLst>
            <a:ext uri="{FF2B5EF4-FFF2-40B4-BE49-F238E27FC236}">
              <a16:creationId xmlns:a16="http://schemas.microsoft.com/office/drawing/2014/main" id="{1B168C20-AE47-42C6-A3FA-BC39C582C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1" name="Picture 6" descr="도장">
          <a:extLst>
            <a:ext uri="{FF2B5EF4-FFF2-40B4-BE49-F238E27FC236}">
              <a16:creationId xmlns:a16="http://schemas.microsoft.com/office/drawing/2014/main" id="{21DD1395-3BFA-48A1-BA24-F7C00A7F8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2" name="Picture 6" descr="도장">
          <a:extLst>
            <a:ext uri="{FF2B5EF4-FFF2-40B4-BE49-F238E27FC236}">
              <a16:creationId xmlns:a16="http://schemas.microsoft.com/office/drawing/2014/main" id="{32A92A93-D90E-416C-BE8C-BA482BB80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23813</xdr:colOff>
      <xdr:row>9</xdr:row>
      <xdr:rowOff>71438</xdr:rowOff>
    </xdr:from>
    <xdr:to>
      <xdr:col>9</xdr:col>
      <xdr:colOff>785812</xdr:colOff>
      <xdr:row>17</xdr:row>
      <xdr:rowOff>89838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1B6C9CED-7826-4AD8-B495-6087429611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83532" y="2786063"/>
          <a:ext cx="6750843" cy="38284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1</xdr:row>
      <xdr:rowOff>1</xdr:rowOff>
    </xdr:from>
    <xdr:to>
      <xdr:col>6</xdr:col>
      <xdr:colOff>952500</xdr:colOff>
      <xdr:row>25</xdr:row>
      <xdr:rowOff>76201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66494F40-6CB3-4656-A00D-16F36C36A2E0}"/>
            </a:ext>
          </a:extLst>
        </xdr:cNvPr>
        <xdr:cNvSpPr/>
      </xdr:nvSpPr>
      <xdr:spPr>
        <a:xfrm>
          <a:off x="1" y="171451"/>
          <a:ext cx="6857999" cy="4191000"/>
        </a:xfrm>
        <a:prstGeom prst="rect">
          <a:avLst/>
        </a:prstGeom>
        <a:solidFill>
          <a:schemeClr val="bg2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&lt;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첨부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_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전문업체 견적서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&gt;</a:t>
          </a:r>
        </a:p>
        <a:p>
          <a:pPr algn="l"/>
          <a:endParaRPr lang="en-US" altLang="ko-KR" sz="1100" b="1">
            <a:solidFill>
              <a:schemeClr val="tx1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</xdr:txBody>
    </xdr:sp>
    <xdr:clientData/>
  </xdr:twoCellAnchor>
  <xdr:twoCellAnchor editAs="oneCell">
    <xdr:from>
      <xdr:col>0</xdr:col>
      <xdr:colOff>228600</xdr:colOff>
      <xdr:row>3</xdr:row>
      <xdr:rowOff>47625</xdr:rowOff>
    </xdr:from>
    <xdr:to>
      <xdr:col>6</xdr:col>
      <xdr:colOff>638175</xdr:colOff>
      <xdr:row>24</xdr:row>
      <xdr:rowOff>25262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485B4260-7939-4F7E-8C02-D444086016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561975"/>
          <a:ext cx="6315075" cy="357808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D997603-7B1C-403F-927D-9A004136B83D}">
  <we:reference id="wa200005271" version="3.0.0.4" store="en-US" storeType="OMEX"/>
  <we:alternateReferences>
    <we:reference id="WA200005271" version="3.0.0.4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  <we:customFunctionIds>_xldudf_AI_WEB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2:I34"/>
  <sheetViews>
    <sheetView showGridLines="0" tabSelected="1" topLeftCell="A14" zoomScale="85" zoomScaleNormal="85" workbookViewId="0">
      <selection activeCell="F31" sqref="F31"/>
    </sheetView>
  </sheetViews>
  <sheetFormatPr defaultColWidth="9" defaultRowHeight="12.75" x14ac:dyDescent="0.2"/>
  <cols>
    <col min="1" max="1" width="9.875" style="3" customWidth="1"/>
    <col min="2" max="2" width="24.25" style="3" customWidth="1"/>
    <col min="3" max="3" width="27" style="3" customWidth="1"/>
    <col min="4" max="5" width="9" style="3"/>
    <col min="6" max="6" width="23.5" style="3" customWidth="1"/>
    <col min="7" max="7" width="44.75" style="3" customWidth="1"/>
    <col min="8" max="8" width="11.25" style="3" customWidth="1"/>
    <col min="9" max="16384" width="9" style="3"/>
  </cols>
  <sheetData>
    <row r="2" spans="1:9" ht="33" x14ac:dyDescent="0.2">
      <c r="A2" s="125" t="s">
        <v>6</v>
      </c>
      <c r="B2" s="125"/>
      <c r="C2" s="125"/>
      <c r="D2" s="125"/>
      <c r="E2" s="125"/>
      <c r="F2" s="125"/>
      <c r="G2" s="125"/>
      <c r="H2" s="2"/>
    </row>
    <row r="3" spans="1:9" ht="14.25" x14ac:dyDescent="0.2">
      <c r="A3" s="74"/>
      <c r="B3" s="74"/>
      <c r="C3" s="74"/>
      <c r="D3" s="74"/>
      <c r="E3" s="74"/>
      <c r="F3" s="74"/>
      <c r="G3" s="74"/>
      <c r="H3" s="74"/>
    </row>
    <row r="4" spans="1:9" ht="14.25" x14ac:dyDescent="0.2">
      <c r="A4" s="74"/>
      <c r="B4" s="74"/>
      <c r="C4" s="74"/>
      <c r="D4" s="74"/>
      <c r="E4" s="74"/>
      <c r="H4" s="74"/>
    </row>
    <row r="5" spans="1:9" ht="27" customHeight="1" x14ac:dyDescent="0.2">
      <c r="A5" s="75" t="s">
        <v>48</v>
      </c>
      <c r="B5" s="4"/>
      <c r="C5" s="5"/>
      <c r="D5" s="74"/>
      <c r="E5" s="74"/>
      <c r="F5" s="6" t="s">
        <v>38</v>
      </c>
      <c r="G5" s="7" t="s">
        <v>51</v>
      </c>
      <c r="H5" s="74"/>
    </row>
    <row r="6" spans="1:9" ht="27" customHeight="1" x14ac:dyDescent="0.2">
      <c r="A6" s="74"/>
      <c r="B6" s="74"/>
      <c r="C6" s="74"/>
      <c r="D6" s="74"/>
      <c r="E6" s="74"/>
      <c r="F6" s="8" t="s">
        <v>41</v>
      </c>
      <c r="G6" s="9" t="s">
        <v>52</v>
      </c>
      <c r="H6" s="74"/>
    </row>
    <row r="7" spans="1:9" ht="27" customHeight="1" x14ac:dyDescent="0.2">
      <c r="A7" s="128" t="s">
        <v>105</v>
      </c>
      <c r="B7" s="129"/>
      <c r="C7" s="130"/>
      <c r="D7" s="74"/>
      <c r="E7" s="10"/>
      <c r="F7" s="11" t="s">
        <v>42</v>
      </c>
      <c r="G7" s="9" t="s">
        <v>53</v>
      </c>
      <c r="H7" s="74"/>
    </row>
    <row r="8" spans="1:9" ht="27" customHeight="1" x14ac:dyDescent="0.2">
      <c r="A8" s="74"/>
      <c r="B8" s="74"/>
      <c r="C8" s="74"/>
      <c r="D8" s="74"/>
      <c r="E8" s="74"/>
      <c r="F8" s="8" t="s">
        <v>43</v>
      </c>
      <c r="G8" s="9" t="s">
        <v>54</v>
      </c>
      <c r="H8" s="74"/>
    </row>
    <row r="9" spans="1:9" ht="27" customHeight="1" x14ac:dyDescent="0.2">
      <c r="A9" s="75" t="s">
        <v>106</v>
      </c>
      <c r="B9" s="90"/>
      <c r="C9" s="91"/>
      <c r="D9" s="74"/>
      <c r="E9" s="74"/>
      <c r="F9" s="8" t="s">
        <v>44</v>
      </c>
      <c r="G9" s="9" t="s">
        <v>55</v>
      </c>
      <c r="H9" s="74"/>
    </row>
    <row r="10" spans="1:9" ht="27" customHeight="1" x14ac:dyDescent="0.2">
      <c r="A10" s="74"/>
      <c r="B10" s="74"/>
      <c r="C10" s="74"/>
      <c r="D10" s="74"/>
      <c r="E10" s="74"/>
      <c r="F10" s="12" t="s">
        <v>39</v>
      </c>
      <c r="G10" s="13" t="s">
        <v>56</v>
      </c>
      <c r="H10" s="74"/>
      <c r="I10" s="74"/>
    </row>
    <row r="11" spans="1:9" ht="27" customHeight="1" x14ac:dyDescent="0.2">
      <c r="A11" s="126"/>
      <c r="B11" s="127"/>
      <c r="C11" s="127"/>
      <c r="D11" s="74"/>
      <c r="E11" s="14"/>
      <c r="F11" s="15" t="s">
        <v>40</v>
      </c>
      <c r="G11" s="16" t="s">
        <v>57</v>
      </c>
      <c r="H11" s="14"/>
    </row>
    <row r="12" spans="1:9" ht="18.75" thickBot="1" x14ac:dyDescent="0.25">
      <c r="A12" s="17" t="s">
        <v>7</v>
      </c>
      <c r="B12" s="17" t="str">
        <f>NUMBERSTRING(F31,1)</f>
        <v>일백삼십칠만사천</v>
      </c>
      <c r="C12" s="18"/>
      <c r="D12" s="1" t="s">
        <v>8</v>
      </c>
      <c r="E12" s="1" t="s">
        <v>9</v>
      </c>
      <c r="F12" s="1" t="s">
        <v>9</v>
      </c>
      <c r="G12" s="1"/>
      <c r="H12" s="19"/>
    </row>
    <row r="13" spans="1:9" ht="15.75" thickTop="1" thickBot="1" x14ac:dyDescent="0.25">
      <c r="A13" s="74"/>
      <c r="B13" s="74"/>
      <c r="C13" s="74"/>
      <c r="D13" s="74"/>
      <c r="E13" s="74"/>
      <c r="F13" s="74"/>
      <c r="G13" s="74"/>
      <c r="H13" s="19"/>
    </row>
    <row r="14" spans="1:9" ht="33" customHeight="1" thickBot="1" x14ac:dyDescent="0.25">
      <c r="A14" s="20" t="s">
        <v>10</v>
      </c>
      <c r="B14" s="21" t="s">
        <v>11</v>
      </c>
      <c r="C14" s="21" t="s">
        <v>12</v>
      </c>
      <c r="D14" s="21" t="s">
        <v>13</v>
      </c>
      <c r="E14" s="21" t="s">
        <v>14</v>
      </c>
      <c r="F14" s="21" t="s">
        <v>15</v>
      </c>
      <c r="G14" s="22" t="s">
        <v>16</v>
      </c>
      <c r="H14" s="19"/>
    </row>
    <row r="15" spans="1:9" ht="33" customHeight="1" thickTop="1" x14ac:dyDescent="0.2">
      <c r="A15" s="23"/>
      <c r="B15" s="24" t="s">
        <v>17</v>
      </c>
      <c r="C15" s="25"/>
      <c r="D15" s="26"/>
      <c r="E15" s="26"/>
      <c r="F15" s="27"/>
      <c r="G15" s="28"/>
    </row>
    <row r="16" spans="1:9" ht="33" customHeight="1" x14ac:dyDescent="0.2">
      <c r="A16" s="29"/>
      <c r="B16" s="30" t="s">
        <v>18</v>
      </c>
      <c r="C16" s="31"/>
      <c r="D16" s="32"/>
      <c r="E16" s="32"/>
      <c r="F16" s="33">
        <f>'내역서(표준단가)'!K9</f>
        <v>865010</v>
      </c>
      <c r="G16" s="34"/>
    </row>
    <row r="17" spans="1:7" ht="33" customHeight="1" x14ac:dyDescent="0.2">
      <c r="A17" s="29"/>
      <c r="B17" s="30" t="s">
        <v>19</v>
      </c>
      <c r="C17" s="31"/>
      <c r="D17" s="32"/>
      <c r="E17" s="32"/>
      <c r="F17" s="33">
        <f>'내역서(표준단가)'!M9</f>
        <v>395527</v>
      </c>
      <c r="G17" s="35"/>
    </row>
    <row r="18" spans="1:7" ht="33" customHeight="1" x14ac:dyDescent="0.2">
      <c r="A18" s="29"/>
      <c r="B18" s="30" t="s">
        <v>20</v>
      </c>
      <c r="C18" s="31"/>
      <c r="D18" s="32"/>
      <c r="E18" s="32"/>
      <c r="F18" s="33">
        <f>'내역서(표준단가)'!O9+'내역서(표준단가)'!Q9</f>
        <v>0</v>
      </c>
      <c r="G18" s="35"/>
    </row>
    <row r="19" spans="1:7" ht="33" customHeight="1" x14ac:dyDescent="0.2">
      <c r="A19" s="29"/>
      <c r="B19" s="36" t="s">
        <v>21</v>
      </c>
      <c r="C19" s="36"/>
      <c r="D19" s="37"/>
      <c r="E19" s="37"/>
      <c r="F19" s="38">
        <f>F16+F17+F18</f>
        <v>1260537</v>
      </c>
      <c r="G19" s="35"/>
    </row>
    <row r="20" spans="1:7" ht="33" customHeight="1" x14ac:dyDescent="0.2">
      <c r="A20" s="29"/>
      <c r="B20" s="39" t="s">
        <v>22</v>
      </c>
      <c r="C20" s="40"/>
      <c r="D20" s="32"/>
      <c r="E20" s="32"/>
      <c r="F20" s="41"/>
      <c r="G20" s="35"/>
    </row>
    <row r="21" spans="1:7" ht="33" customHeight="1" x14ac:dyDescent="0.2">
      <c r="A21" s="29"/>
      <c r="B21" s="92" t="s">
        <v>23</v>
      </c>
      <c r="C21" s="93" t="s">
        <v>78</v>
      </c>
      <c r="D21" s="94">
        <v>1</v>
      </c>
      <c r="E21" s="94" t="s">
        <v>24</v>
      </c>
      <c r="F21" s="95">
        <f>F17*4.75%</f>
        <v>18787.532500000001</v>
      </c>
      <c r="G21" s="35" t="s">
        <v>25</v>
      </c>
    </row>
    <row r="22" spans="1:7" ht="33" customHeight="1" x14ac:dyDescent="0.2">
      <c r="A22" s="29"/>
      <c r="B22" s="96" t="s">
        <v>26</v>
      </c>
      <c r="C22" s="93" t="s">
        <v>79</v>
      </c>
      <c r="D22" s="97">
        <v>1</v>
      </c>
      <c r="E22" s="97" t="s">
        <v>24</v>
      </c>
      <c r="F22" s="98">
        <f>F17*3.595%</f>
        <v>14219.195650000001</v>
      </c>
      <c r="G22" s="44" t="s">
        <v>27</v>
      </c>
    </row>
    <row r="23" spans="1:7" ht="33" customHeight="1" x14ac:dyDescent="0.2">
      <c r="A23" s="29"/>
      <c r="B23" s="42" t="s">
        <v>28</v>
      </c>
      <c r="C23" s="40" t="s">
        <v>49</v>
      </c>
      <c r="D23" s="30">
        <v>1</v>
      </c>
      <c r="E23" s="30" t="s">
        <v>24</v>
      </c>
      <c r="F23" s="43">
        <f>F22*12.95%</f>
        <v>1841.3858366750003</v>
      </c>
      <c r="G23" s="35" t="s">
        <v>27</v>
      </c>
    </row>
    <row r="24" spans="1:7" ht="33" customHeight="1" x14ac:dyDescent="0.2">
      <c r="A24" s="29"/>
      <c r="B24" s="42" t="s">
        <v>29</v>
      </c>
      <c r="C24" s="40" t="s">
        <v>46</v>
      </c>
      <c r="D24" s="30">
        <v>1</v>
      </c>
      <c r="E24" s="30" t="s">
        <v>24</v>
      </c>
      <c r="F24" s="43">
        <f>F17*1.01%</f>
        <v>3994.8226999999997</v>
      </c>
      <c r="G24" s="35" t="s">
        <v>27</v>
      </c>
    </row>
    <row r="25" spans="1:7" ht="33" customHeight="1" x14ac:dyDescent="0.2">
      <c r="A25" s="29"/>
      <c r="B25" s="42" t="s">
        <v>30</v>
      </c>
      <c r="C25" s="40" t="s">
        <v>50</v>
      </c>
      <c r="D25" s="30">
        <v>1</v>
      </c>
      <c r="E25" s="30" t="s">
        <v>24</v>
      </c>
      <c r="F25" s="43">
        <f>F17*3.56%</f>
        <v>14080.761199999999</v>
      </c>
      <c r="G25" s="35" t="s">
        <v>27</v>
      </c>
    </row>
    <row r="26" spans="1:7" ht="33" customHeight="1" x14ac:dyDescent="0.2">
      <c r="A26" s="29"/>
      <c r="B26" s="42" t="s">
        <v>31</v>
      </c>
      <c r="C26" s="45" t="s">
        <v>35</v>
      </c>
      <c r="D26" s="30">
        <v>1</v>
      </c>
      <c r="E26" s="30" t="s">
        <v>24</v>
      </c>
      <c r="F26" s="43">
        <f>(F16+F17)*2.93%</f>
        <v>36933.734100000001</v>
      </c>
      <c r="G26" s="35" t="s">
        <v>25</v>
      </c>
    </row>
    <row r="27" spans="1:7" ht="33" customHeight="1" x14ac:dyDescent="0.2">
      <c r="A27" s="29"/>
      <c r="B27" s="42" t="s">
        <v>36</v>
      </c>
      <c r="C27" s="45" t="s">
        <v>37</v>
      </c>
      <c r="D27" s="30">
        <v>1</v>
      </c>
      <c r="E27" s="30" t="s">
        <v>24</v>
      </c>
      <c r="F27" s="43">
        <f>SUM(F17+F21+F22+F23+F24+F25+F26)*5%</f>
        <v>24269.221599333752</v>
      </c>
      <c r="G27" s="35"/>
    </row>
    <row r="28" spans="1:7" ht="33" customHeight="1" x14ac:dyDescent="0.2">
      <c r="A28" s="29"/>
      <c r="B28" s="36" t="s">
        <v>32</v>
      </c>
      <c r="C28" s="46"/>
      <c r="D28" s="47"/>
      <c r="E28" s="37"/>
      <c r="F28" s="48">
        <f>F21+F22+F23+F24+F25+F26+F27</f>
        <v>114126.65358600876</v>
      </c>
      <c r="G28" s="35"/>
    </row>
    <row r="29" spans="1:7" ht="33" customHeight="1" x14ac:dyDescent="0.2">
      <c r="A29" s="29"/>
      <c r="B29" s="40"/>
      <c r="C29" s="49"/>
      <c r="D29" s="50"/>
      <c r="E29" s="32"/>
      <c r="F29" s="51"/>
      <c r="G29" s="35"/>
    </row>
    <row r="30" spans="1:7" ht="33" customHeight="1" x14ac:dyDescent="0.2">
      <c r="A30" s="29"/>
      <c r="B30" s="52"/>
      <c r="C30" s="49"/>
      <c r="D30" s="50"/>
      <c r="E30" s="32"/>
      <c r="F30" s="53">
        <f>F19+F28+F29</f>
        <v>1374663.6535860088</v>
      </c>
      <c r="G30" s="35"/>
    </row>
    <row r="31" spans="1:7" ht="33" customHeight="1" x14ac:dyDescent="0.2">
      <c r="A31" s="29"/>
      <c r="B31" s="36" t="s">
        <v>33</v>
      </c>
      <c r="C31" s="36"/>
      <c r="D31" s="37"/>
      <c r="E31" s="37"/>
      <c r="F31" s="54">
        <f>ROUNDDOWN(F30,-3)</f>
        <v>1374000</v>
      </c>
      <c r="G31" s="35"/>
    </row>
    <row r="32" spans="1:7" ht="33" customHeight="1" thickBot="1" x14ac:dyDescent="0.25">
      <c r="A32" s="55"/>
      <c r="B32" s="56" t="s">
        <v>34</v>
      </c>
      <c r="C32" s="57"/>
      <c r="D32" s="57"/>
      <c r="E32" s="57"/>
      <c r="F32" s="58"/>
      <c r="G32" s="59"/>
    </row>
    <row r="33" spans="2:2" ht="15.75" x14ac:dyDescent="0.25">
      <c r="B33" s="60"/>
    </row>
    <row r="34" spans="2:2" ht="15.75" x14ac:dyDescent="0.25">
      <c r="B34" s="60"/>
    </row>
  </sheetData>
  <mergeCells count="3">
    <mergeCell ref="A2:G2"/>
    <mergeCell ref="A11:C11"/>
    <mergeCell ref="A7:C7"/>
  </mergeCells>
  <phoneticPr fontId="8" type="noConversion"/>
  <pageMargins left="0.31496062992125984" right="0.19685039370078741" top="0.94488188976377963" bottom="0.55118110236220474" header="0.31496062992125984" footer="0.31496062992125984"/>
  <pageSetup paperSize="9" scale="6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  <pageSetUpPr fitToPage="1"/>
  </sheetPr>
  <dimension ref="A1:T9"/>
  <sheetViews>
    <sheetView showGridLines="0" topLeftCell="G1" zoomScaleNormal="100" workbookViewId="0">
      <pane ySplit="4" topLeftCell="A5" activePane="bottomLeft" state="frozen"/>
      <selection pane="bottomLeft" activeCell="M16" sqref="M16"/>
    </sheetView>
  </sheetViews>
  <sheetFormatPr defaultColWidth="9" defaultRowHeight="38.1" customHeight="1" x14ac:dyDescent="0.3"/>
  <cols>
    <col min="1" max="1" width="20.5" style="89" bestFit="1" customWidth="1"/>
    <col min="2" max="2" width="9" style="79" hidden="1" customWidth="1"/>
    <col min="3" max="5" width="12.625" style="79" hidden="1" customWidth="1"/>
    <col min="6" max="7" width="30.625" style="76" customWidth="1"/>
    <col min="8" max="8" width="9.125" style="79" customWidth="1"/>
    <col min="9" max="9" width="8.25" style="79" customWidth="1"/>
    <col min="10" max="10" width="10.625" style="79" bestFit="1" customWidth="1"/>
    <col min="11" max="11" width="15" style="79" customWidth="1"/>
    <col min="12" max="12" width="12" style="79" bestFit="1" customWidth="1"/>
    <col min="13" max="13" width="16.125" style="79" customWidth="1"/>
    <col min="14" max="14" width="9" style="79" hidden="1" customWidth="1"/>
    <col min="15" max="15" width="14.875" style="79" hidden="1" customWidth="1"/>
    <col min="16" max="16" width="10.5" style="79" hidden="1" customWidth="1"/>
    <col min="17" max="17" width="8.375" style="79" hidden="1" customWidth="1"/>
    <col min="18" max="18" width="15.625" style="79" bestFit="1" customWidth="1"/>
    <col min="19" max="19" width="10.625" style="62" bestFit="1" customWidth="1"/>
    <col min="20" max="20" width="8.5" style="79" bestFit="1" customWidth="1"/>
    <col min="21" max="16384" width="9" style="79"/>
  </cols>
  <sheetData>
    <row r="1" spans="1:20" ht="19.899999999999999" customHeight="1" x14ac:dyDescent="0.3">
      <c r="A1" s="133"/>
      <c r="B1" s="133"/>
      <c r="C1" s="133"/>
      <c r="D1" s="133"/>
      <c r="E1" s="133"/>
      <c r="J1" s="62"/>
      <c r="K1" s="78" t="s">
        <v>58</v>
      </c>
      <c r="M1" s="78" t="s">
        <v>58</v>
      </c>
      <c r="O1" s="78" t="s">
        <v>58</v>
      </c>
      <c r="Q1" s="78" t="s">
        <v>58</v>
      </c>
    </row>
    <row r="2" spans="1:20" ht="19.899999999999999" customHeight="1" thickBot="1" x14ac:dyDescent="0.35">
      <c r="A2" s="133"/>
      <c r="B2" s="133"/>
      <c r="C2" s="133"/>
      <c r="D2" s="133"/>
      <c r="E2" s="133"/>
      <c r="J2" s="63"/>
      <c r="K2" s="64">
        <v>0.83499999999999996</v>
      </c>
      <c r="M2" s="64">
        <v>0.83499999999999996</v>
      </c>
      <c r="O2" s="64">
        <v>0.83499999999999996</v>
      </c>
      <c r="Q2" s="64">
        <v>0.83499999999999996</v>
      </c>
    </row>
    <row r="3" spans="1:20" ht="19.899999999999999" customHeight="1" x14ac:dyDescent="0.3">
      <c r="A3" s="80"/>
      <c r="B3" s="81" t="s">
        <v>59</v>
      </c>
      <c r="C3" s="81"/>
      <c r="D3" s="81"/>
      <c r="E3" s="81"/>
      <c r="F3" s="144" t="s">
        <v>60</v>
      </c>
      <c r="G3" s="144"/>
      <c r="H3" s="142" t="s">
        <v>47</v>
      </c>
      <c r="I3" s="142" t="s">
        <v>5</v>
      </c>
      <c r="J3" s="138" t="s">
        <v>61</v>
      </c>
      <c r="K3" s="138"/>
      <c r="L3" s="138" t="s">
        <v>62</v>
      </c>
      <c r="M3" s="138"/>
      <c r="N3" s="139" t="s">
        <v>63</v>
      </c>
      <c r="O3" s="139"/>
      <c r="P3" s="139" t="s">
        <v>64</v>
      </c>
      <c r="Q3" s="139"/>
      <c r="R3" s="140" t="s">
        <v>65</v>
      </c>
      <c r="S3" s="136" t="s">
        <v>66</v>
      </c>
      <c r="T3" s="134" t="s">
        <v>45</v>
      </c>
    </row>
    <row r="4" spans="1:20" ht="19.899999999999999" customHeight="1" x14ac:dyDescent="0.3">
      <c r="A4" s="65" t="s">
        <v>67</v>
      </c>
      <c r="B4" s="66" t="s">
        <v>68</v>
      </c>
      <c r="C4" s="66" t="s">
        <v>69</v>
      </c>
      <c r="D4" s="66" t="s">
        <v>70</v>
      </c>
      <c r="E4" s="66" t="s">
        <v>71</v>
      </c>
      <c r="F4" s="77" t="s">
        <v>72</v>
      </c>
      <c r="G4" s="77" t="s">
        <v>73</v>
      </c>
      <c r="H4" s="143"/>
      <c r="I4" s="143"/>
      <c r="J4" s="67" t="s">
        <v>74</v>
      </c>
      <c r="K4" s="68" t="s">
        <v>75</v>
      </c>
      <c r="L4" s="67" t="s">
        <v>76</v>
      </c>
      <c r="M4" s="68" t="s">
        <v>75</v>
      </c>
      <c r="N4" s="68" t="s">
        <v>77</v>
      </c>
      <c r="O4" s="68" t="s">
        <v>75</v>
      </c>
      <c r="P4" s="68" t="s">
        <v>77</v>
      </c>
      <c r="Q4" s="68" t="s">
        <v>75</v>
      </c>
      <c r="R4" s="141"/>
      <c r="S4" s="137"/>
      <c r="T4" s="135"/>
    </row>
    <row r="5" spans="1:20" s="82" customFormat="1" ht="24" customHeight="1" x14ac:dyDescent="0.3">
      <c r="A5" s="106" t="str">
        <f t="shared" ref="A5:A7" si="0">B5&amp;C5&amp;D5&amp;E5</f>
        <v>M020251411630101</v>
      </c>
      <c r="B5" s="107"/>
      <c r="C5" s="108"/>
      <c r="D5" s="117" t="s">
        <v>99</v>
      </c>
      <c r="E5" s="107"/>
      <c r="F5" s="116" t="s">
        <v>100</v>
      </c>
      <c r="G5" s="121" t="s">
        <v>101</v>
      </c>
      <c r="H5" s="116" t="s">
        <v>102</v>
      </c>
      <c r="I5" s="123">
        <v>1</v>
      </c>
      <c r="J5" s="118">
        <v>6000</v>
      </c>
      <c r="K5" s="109">
        <f t="shared" ref="K5" si="1">SUM(J5:J5)*I5*$K$2</f>
        <v>5010</v>
      </c>
      <c r="L5" s="110"/>
      <c r="M5" s="111">
        <f t="shared" ref="M5" si="2">(L5*I5)*$M$2</f>
        <v>0</v>
      </c>
      <c r="N5" s="112"/>
      <c r="O5" s="111">
        <f t="shared" ref="O5" si="3">N5*I5*$O$2</f>
        <v>0</v>
      </c>
      <c r="P5" s="112"/>
      <c r="Q5" s="111">
        <f t="shared" ref="Q5" si="4">P5*I5*$Q$2</f>
        <v>0</v>
      </c>
      <c r="R5" s="113">
        <f t="shared" ref="R5" si="5">SUM(K5+M5)+O5+Q5</f>
        <v>5010</v>
      </c>
      <c r="S5" s="114"/>
      <c r="T5" s="119"/>
    </row>
    <row r="6" spans="1:20" s="82" customFormat="1" ht="24" customHeight="1" x14ac:dyDescent="0.3">
      <c r="A6" s="106" t="str">
        <f t="shared" si="0"/>
        <v>L003</v>
      </c>
      <c r="B6" s="107"/>
      <c r="C6" s="108"/>
      <c r="D6" s="117"/>
      <c r="E6" s="120" t="s">
        <v>104</v>
      </c>
      <c r="F6" s="105" t="s">
        <v>110</v>
      </c>
      <c r="G6" s="115" t="s">
        <v>109</v>
      </c>
      <c r="H6" s="105" t="s">
        <v>80</v>
      </c>
      <c r="I6" s="123">
        <v>1</v>
      </c>
      <c r="J6" s="118"/>
      <c r="K6" s="109"/>
      <c r="L6" s="110">
        <v>224490</v>
      </c>
      <c r="M6" s="111">
        <f>I6*L6</f>
        <v>224490</v>
      </c>
      <c r="N6" s="112"/>
      <c r="O6" s="111">
        <f t="shared" ref="O6:O7" si="6">N6*I6*$O$2</f>
        <v>0</v>
      </c>
      <c r="P6" s="112"/>
      <c r="Q6" s="111">
        <f t="shared" ref="Q6:Q7" si="7">P6*I6*$Q$2</f>
        <v>0</v>
      </c>
      <c r="R6" s="113">
        <f t="shared" ref="R6:R7" si="8">SUM(K6+M6)+O6+Q6</f>
        <v>224490</v>
      </c>
      <c r="S6" s="114"/>
      <c r="T6" s="122"/>
    </row>
    <row r="7" spans="1:20" s="82" customFormat="1" ht="24" customHeight="1" x14ac:dyDescent="0.3">
      <c r="A7" s="106" t="str">
        <f t="shared" si="0"/>
        <v>L002</v>
      </c>
      <c r="B7" s="107"/>
      <c r="C7" s="108"/>
      <c r="D7" s="117"/>
      <c r="E7" s="120" t="s">
        <v>103</v>
      </c>
      <c r="F7" s="105" t="s">
        <v>110</v>
      </c>
      <c r="G7" s="115" t="s">
        <v>111</v>
      </c>
      <c r="H7" s="105" t="s">
        <v>80</v>
      </c>
      <c r="I7" s="123">
        <v>1</v>
      </c>
      <c r="J7" s="118"/>
      <c r="K7" s="109"/>
      <c r="L7" s="110">
        <v>171037</v>
      </c>
      <c r="M7" s="111">
        <f>I7*L7</f>
        <v>171037</v>
      </c>
      <c r="N7" s="112"/>
      <c r="O7" s="111">
        <f t="shared" si="6"/>
        <v>0</v>
      </c>
      <c r="P7" s="112"/>
      <c r="Q7" s="111">
        <f t="shared" si="7"/>
        <v>0</v>
      </c>
      <c r="R7" s="113">
        <f t="shared" si="8"/>
        <v>171037</v>
      </c>
      <c r="S7" s="114"/>
      <c r="T7" s="119"/>
    </row>
    <row r="8" spans="1:20" s="82" customFormat="1" ht="24" customHeight="1" x14ac:dyDescent="0.3">
      <c r="A8" s="106">
        <v>999999</v>
      </c>
      <c r="B8" s="107"/>
      <c r="C8" s="108"/>
      <c r="D8" s="117"/>
      <c r="E8" s="120"/>
      <c r="F8" s="105" t="s">
        <v>108</v>
      </c>
      <c r="G8" s="105" t="s">
        <v>107</v>
      </c>
      <c r="H8" s="116" t="s">
        <v>98</v>
      </c>
      <c r="I8" s="123">
        <v>1</v>
      </c>
      <c r="J8" s="118">
        <v>860000</v>
      </c>
      <c r="K8" s="109">
        <f>I8*J8</f>
        <v>860000</v>
      </c>
      <c r="L8" s="110"/>
      <c r="M8" s="111"/>
      <c r="N8" s="112"/>
      <c r="O8" s="111">
        <f>I8*N8</f>
        <v>0</v>
      </c>
      <c r="P8" s="112"/>
      <c r="Q8" s="111"/>
      <c r="R8" s="113">
        <f t="shared" ref="R8" si="9">SUM(K8+M8)+O8+Q8</f>
        <v>860000</v>
      </c>
      <c r="S8" s="114"/>
      <c r="T8" s="119"/>
    </row>
    <row r="9" spans="1:20" s="88" customFormat="1" ht="38.1" customHeight="1" x14ac:dyDescent="0.3">
      <c r="A9" s="83"/>
      <c r="B9" s="84"/>
      <c r="C9" s="84"/>
      <c r="D9" s="84"/>
      <c r="E9" s="84"/>
      <c r="F9" s="131"/>
      <c r="G9" s="132"/>
      <c r="H9" s="84"/>
      <c r="I9" s="84"/>
      <c r="J9" s="84"/>
      <c r="K9" s="85">
        <f>SUM(K5:K8)</f>
        <v>865010</v>
      </c>
      <c r="L9" s="86"/>
      <c r="M9" s="85">
        <f>SUM(M5:M8)</f>
        <v>395527</v>
      </c>
      <c r="N9" s="86"/>
      <c r="O9" s="85">
        <f>SUM(O5:O8)</f>
        <v>0</v>
      </c>
      <c r="P9" s="86"/>
      <c r="Q9" s="85">
        <f>SUM(Q5:Q8)</f>
        <v>0</v>
      </c>
      <c r="R9" s="87">
        <f>SUM(R5:R8)</f>
        <v>1260537</v>
      </c>
      <c r="S9" s="73"/>
      <c r="T9" s="84"/>
    </row>
  </sheetData>
  <mergeCells count="13">
    <mergeCell ref="F9:G9"/>
    <mergeCell ref="A1:E1"/>
    <mergeCell ref="T3:T4"/>
    <mergeCell ref="A2:E2"/>
    <mergeCell ref="S3:S4"/>
    <mergeCell ref="L3:M3"/>
    <mergeCell ref="N3:O3"/>
    <mergeCell ref="P3:Q3"/>
    <mergeCell ref="R3:R4"/>
    <mergeCell ref="H3:H4"/>
    <mergeCell ref="I3:I4"/>
    <mergeCell ref="J3:K3"/>
    <mergeCell ref="F3:G3"/>
  </mergeCells>
  <phoneticPr fontId="8" type="noConversion"/>
  <pageMargins left="0.7" right="0.7" top="0.75" bottom="0.75" header="0.3" footer="0.3"/>
  <pageSetup paperSize="9" scale="36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64B98-C388-4800-AEF4-F1128E633F75}">
  <sheetPr>
    <pageSetUpPr fitToPage="1"/>
  </sheetPr>
  <dimension ref="G1:P1"/>
  <sheetViews>
    <sheetView zoomScale="145" zoomScaleNormal="145" zoomScaleSheetLayoutView="85" workbookViewId="0">
      <selection activeCell="K22" sqref="K22"/>
    </sheetView>
  </sheetViews>
  <sheetFormatPr defaultColWidth="9" defaultRowHeight="14.25" x14ac:dyDescent="0.3"/>
  <cols>
    <col min="1" max="1" width="11.5" style="102" bestFit="1" customWidth="1"/>
    <col min="2" max="2" width="17.875" style="102" customWidth="1"/>
    <col min="3" max="3" width="14.625" style="102" customWidth="1"/>
    <col min="4" max="4" width="10.875" style="102" customWidth="1"/>
    <col min="5" max="5" width="12" style="102" customWidth="1"/>
    <col min="6" max="6" width="10.625" style="102" customWidth="1"/>
    <col min="7" max="7" width="13.625" style="103" customWidth="1"/>
    <col min="8" max="8" width="9.625" style="102" customWidth="1"/>
    <col min="9" max="9" width="13.625" style="102" customWidth="1"/>
    <col min="10" max="10" width="12.75" style="102" customWidth="1"/>
    <col min="11" max="11" width="9.25" style="102" customWidth="1"/>
    <col min="12" max="12" width="13.625" style="103" customWidth="1"/>
    <col min="13" max="13" width="9.625" style="102" customWidth="1"/>
    <col min="14" max="14" width="13.625" style="103" customWidth="1"/>
    <col min="15" max="15" width="19.75" style="104" bestFit="1" customWidth="1"/>
    <col min="16" max="16" width="12.25" style="104" bestFit="1" customWidth="1"/>
    <col min="17" max="16384" width="9" style="102"/>
  </cols>
  <sheetData/>
  <phoneticPr fontId="8" type="noConversion"/>
  <pageMargins left="0.23622047244094491" right="0.23622047244094491" top="0.55118110236220474" bottom="0.55118110236220474" header="0.31496062992125984" footer="0.31496062992125984"/>
  <pageSetup paperSize="9" scale="59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FA174F-753B-4488-A6B3-0C92BBDEAE99}">
  <sheetPr>
    <pageSetUpPr fitToPage="1"/>
  </sheetPr>
  <dimension ref="A1:R2"/>
  <sheetViews>
    <sheetView topLeftCell="B1" zoomScale="110" zoomScaleNormal="110" workbookViewId="0">
      <selection activeCell="K15" sqref="K15"/>
    </sheetView>
  </sheetViews>
  <sheetFormatPr defaultColWidth="9" defaultRowHeight="14.25" x14ac:dyDescent="0.3"/>
  <cols>
    <col min="1" max="1" width="11.125" style="69" customWidth="1"/>
    <col min="2" max="2" width="13.375" style="69" customWidth="1"/>
    <col min="3" max="3" width="28.625" style="69" customWidth="1"/>
    <col min="4" max="4" width="28.75" style="69" customWidth="1"/>
    <col min="5" max="5" width="5" style="69" customWidth="1"/>
    <col min="6" max="6" width="6.25" style="69" customWidth="1"/>
    <col min="7" max="7" width="10" style="69" customWidth="1"/>
    <col min="8" max="8" width="11.875" style="69" customWidth="1"/>
    <col min="9" max="9" width="10" style="69" customWidth="1"/>
    <col min="10" max="10" width="11.875" style="69" customWidth="1"/>
    <col min="11" max="11" width="10" style="69" customWidth="1"/>
    <col min="12" max="12" width="11.875" style="69" customWidth="1"/>
    <col min="13" max="13" width="10" style="69" customWidth="1"/>
    <col min="14" max="14" width="11.875" style="69" customWidth="1"/>
    <col min="15" max="15" width="9.125" style="69" customWidth="1"/>
    <col min="16" max="16" width="11.5" style="69" customWidth="1"/>
    <col min="17" max="17" width="11.75" style="69" customWidth="1"/>
    <col min="18" max="18" width="17.875" style="69" customWidth="1"/>
    <col min="19" max="16384" width="9" style="69"/>
  </cols>
  <sheetData>
    <row r="1" spans="1:18" ht="18" customHeight="1" x14ac:dyDescent="0.3">
      <c r="A1" s="70" t="s">
        <v>81</v>
      </c>
      <c r="B1" s="99" t="s">
        <v>82</v>
      </c>
      <c r="C1" s="100" t="s">
        <v>83</v>
      </c>
      <c r="D1" s="100" t="s">
        <v>84</v>
      </c>
      <c r="E1" s="100" t="s">
        <v>47</v>
      </c>
      <c r="F1" s="100" t="s">
        <v>5</v>
      </c>
      <c r="G1" s="99" t="s">
        <v>85</v>
      </c>
      <c r="H1" s="99" t="s">
        <v>86</v>
      </c>
      <c r="I1" s="99" t="s">
        <v>87</v>
      </c>
      <c r="J1" s="99" t="s">
        <v>88</v>
      </c>
      <c r="K1" s="99" t="s">
        <v>89</v>
      </c>
      <c r="L1" s="99" t="s">
        <v>90</v>
      </c>
      <c r="M1" s="99" t="s">
        <v>91</v>
      </c>
      <c r="N1" s="99" t="s">
        <v>92</v>
      </c>
      <c r="O1" s="99" t="s">
        <v>93</v>
      </c>
      <c r="P1" s="99" t="s">
        <v>94</v>
      </c>
      <c r="Q1" s="99" t="s">
        <v>95</v>
      </c>
      <c r="R1" s="99" t="s">
        <v>96</v>
      </c>
    </row>
    <row r="2" spans="1:18" x14ac:dyDescent="0.3">
      <c r="A2" s="62">
        <v>999999</v>
      </c>
      <c r="B2" s="62" t="s">
        <v>97</v>
      </c>
      <c r="C2" s="105" t="s">
        <v>108</v>
      </c>
      <c r="D2" s="105" t="s">
        <v>107</v>
      </c>
      <c r="E2" s="116" t="s">
        <v>98</v>
      </c>
      <c r="F2" s="123">
        <v>1</v>
      </c>
      <c r="G2" s="101">
        <v>860000</v>
      </c>
      <c r="H2" s="79"/>
      <c r="I2" s="79"/>
      <c r="J2" s="79"/>
      <c r="K2" s="79"/>
      <c r="L2" s="79"/>
      <c r="M2" s="79"/>
      <c r="N2" s="79"/>
      <c r="O2" s="79"/>
      <c r="P2" s="79"/>
      <c r="Q2" s="79"/>
      <c r="R2" s="79"/>
    </row>
  </sheetData>
  <phoneticPr fontId="8" type="noConversion"/>
  <pageMargins left="0.7" right="0.7" top="0.75" bottom="0.75" header="0.3" footer="0.3"/>
  <pageSetup paperSize="9" scale="49" orientation="landscape" horizontalDpi="4294967293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F4"/>
  <sheetViews>
    <sheetView showGridLines="0" zoomScale="110" zoomScaleNormal="110" workbookViewId="0">
      <selection activeCell="F19" sqref="F19"/>
    </sheetView>
  </sheetViews>
  <sheetFormatPr defaultColWidth="9" defaultRowHeight="14.25" x14ac:dyDescent="0.3"/>
  <cols>
    <col min="1" max="1" width="25.125" style="61" customWidth="1"/>
    <col min="2" max="2" width="16.25" style="61" customWidth="1"/>
    <col min="3" max="3" width="22.375" style="61" customWidth="1"/>
    <col min="4" max="4" width="24.125" style="61" customWidth="1"/>
    <col min="5" max="5" width="13" style="61" customWidth="1"/>
    <col min="6" max="6" width="9" style="61" customWidth="1"/>
    <col min="7" max="16384" width="9" style="69"/>
  </cols>
  <sheetData>
    <row r="1" spans="1:6" ht="18" customHeight="1" x14ac:dyDescent="0.3">
      <c r="A1" s="70" t="s">
        <v>0</v>
      </c>
      <c r="B1" s="70" t="s">
        <v>1</v>
      </c>
      <c r="C1" s="70" t="s">
        <v>2</v>
      </c>
      <c r="D1" s="70" t="s">
        <v>3</v>
      </c>
      <c r="E1" s="70" t="s">
        <v>4</v>
      </c>
      <c r="F1" s="70" t="s">
        <v>5</v>
      </c>
    </row>
    <row r="2" spans="1:6" x14ac:dyDescent="0.3">
      <c r="A2" s="71" t="str">
        <f>'내역서(표준단가)'!A5</f>
        <v>M020251411630101</v>
      </c>
      <c r="B2" s="72">
        <f>'내역서(표준단가)'!B5</f>
        <v>0</v>
      </c>
      <c r="C2" s="72">
        <f>'내역서(표준단가)'!C5</f>
        <v>0</v>
      </c>
      <c r="D2" s="72" t="str">
        <f>'내역서(표준단가)'!D5</f>
        <v>M020251411630101</v>
      </c>
      <c r="E2" s="72">
        <f>'내역서(표준단가)'!E5</f>
        <v>0</v>
      </c>
      <c r="F2" s="124">
        <f>'내역서(표준단가)'!I5</f>
        <v>1</v>
      </c>
    </row>
    <row r="3" spans="1:6" x14ac:dyDescent="0.3">
      <c r="A3" s="71" t="str">
        <f>'내역서(표준단가)'!A6</f>
        <v>L003</v>
      </c>
      <c r="B3" s="72">
        <f>'내역서(표준단가)'!B6</f>
        <v>0</v>
      </c>
      <c r="C3" s="72">
        <f>'내역서(표준단가)'!C6</f>
        <v>0</v>
      </c>
      <c r="D3" s="72">
        <f>'내역서(표준단가)'!D6</f>
        <v>0</v>
      </c>
      <c r="E3" s="72" t="str">
        <f>'내역서(표준단가)'!E6</f>
        <v>L003</v>
      </c>
      <c r="F3" s="124">
        <f>'내역서(표준단가)'!I6</f>
        <v>1</v>
      </c>
    </row>
    <row r="4" spans="1:6" x14ac:dyDescent="0.3">
      <c r="A4" s="71" t="str">
        <f>'내역서(표준단가)'!A7</f>
        <v>L002</v>
      </c>
      <c r="B4" s="72">
        <f>'내역서(표준단가)'!B7</f>
        <v>0</v>
      </c>
      <c r="C4" s="72">
        <f>'내역서(표준단가)'!C7</f>
        <v>0</v>
      </c>
      <c r="D4" s="72">
        <f>'내역서(표준단가)'!D7</f>
        <v>0</v>
      </c>
      <c r="E4" s="72" t="str">
        <f>'내역서(표준단가)'!E7</f>
        <v>L002</v>
      </c>
      <c r="F4" s="124">
        <f>'내역서(표준단가)'!I7</f>
        <v>1</v>
      </c>
    </row>
  </sheetData>
  <phoneticPr fontId="8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갑지</vt:lpstr>
      <vt:lpstr>내역서(표준단가)</vt:lpstr>
      <vt:lpstr>시중가 근거서류</vt:lpstr>
      <vt:lpstr>Upload(시중가)</vt:lpstr>
      <vt:lpstr>Upload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2026-01-20T04:06:14Z</dcterms:created>
  <dcterms:modified xsi:type="dcterms:W3CDTF">2026-06-08T22:14:58Z</dcterms:modified>
</cp:coreProperties>
</file>
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3월\02 화학\05 사택 104-402 수장공사\"/>
    </mc:Choice>
  </mc:AlternateContent>
  <xr:revisionPtr revIDLastSave="0" documentId="13_ncr:1_{30FCAC9A-053D-4BB9-B4C5-0223E08ED428}" xr6:coauthVersionLast="47" xr6:coauthVersionMax="47" xr10:uidLastSave="{00000000-0000-0000-0000-000000000000}"/>
  <bookViews>
    <workbookView xWindow="14355" yWindow="0" windowWidth="14490" windowHeight="15525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9" l="1"/>
  <c r="J30" i="9"/>
  <c r="F11" i="10"/>
  <c r="E11" i="10"/>
  <c r="D11" i="10"/>
  <c r="C11" i="10"/>
  <c r="B11" i="10"/>
  <c r="A11" i="10"/>
  <c r="F10" i="10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A4" i="10"/>
  <c r="F3" i="10"/>
  <c r="E3" i="10"/>
  <c r="D3" i="10"/>
  <c r="C3" i="10"/>
  <c r="B3" i="10"/>
  <c r="A3" i="10"/>
  <c r="U14" i="4"/>
  <c r="S14" i="4"/>
  <c r="Q14" i="4"/>
  <c r="O14" i="4"/>
  <c r="A14" i="4"/>
  <c r="N30" i="9"/>
  <c r="H30" i="9"/>
  <c r="F30" i="9"/>
  <c r="H29" i="9"/>
  <c r="N29" i="9" s="1"/>
  <c r="H28" i="9"/>
  <c r="N28" i="9" s="1"/>
  <c r="Q13" i="4"/>
  <c r="A13" i="4"/>
  <c r="A10" i="10" s="1"/>
  <c r="A12" i="4"/>
  <c r="A9" i="10" s="1"/>
  <c r="A11" i="4"/>
  <c r="A8" i="10" s="1"/>
  <c r="A10" i="4"/>
  <c r="A7" i="10" s="1"/>
  <c r="A9" i="4"/>
  <c r="A6" i="10" s="1"/>
  <c r="A8" i="4"/>
  <c r="A5" i="10" s="1"/>
  <c r="A7" i="4"/>
  <c r="A6" i="4"/>
  <c r="U15" i="4"/>
  <c r="S15" i="4"/>
  <c r="Q15" i="4"/>
  <c r="O15" i="4"/>
  <c r="U13" i="4"/>
  <c r="S13" i="4"/>
  <c r="O13" i="4"/>
  <c r="U12" i="4"/>
  <c r="S12" i="4"/>
  <c r="Q12" i="4"/>
  <c r="O12" i="4"/>
  <c r="V12" i="4" s="1"/>
  <c r="F2" i="10"/>
  <c r="E2" i="10"/>
  <c r="D2" i="10"/>
  <c r="C2" i="10"/>
  <c r="B2" i="10"/>
  <c r="D13" i="9"/>
  <c r="V15" i="4" l="1"/>
  <c r="V14" i="4"/>
  <c r="V13" i="4"/>
  <c r="H26" i="9"/>
  <c r="N26" i="9" s="1"/>
  <c r="U7" i="4"/>
  <c r="S7" i="4"/>
  <c r="Q7" i="4"/>
  <c r="O7" i="4"/>
  <c r="U5" i="4"/>
  <c r="S5" i="4"/>
  <c r="Q5" i="4"/>
  <c r="O5" i="4"/>
  <c r="A5" i="4"/>
  <c r="A2" i="10" s="1"/>
  <c r="U6" i="4"/>
  <c r="S6" i="4"/>
  <c r="Q6" i="4"/>
  <c r="O6" i="4"/>
  <c r="V6" i="4" l="1"/>
  <c r="V7" i="4"/>
  <c r="V5" i="4"/>
  <c r="F20" i="9" l="1"/>
  <c r="N20" i="9" s="1"/>
  <c r="O9" i="4"/>
  <c r="V9" i="4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J31" i="9" l="1"/>
  <c r="L31" i="9"/>
  <c r="N22" i="9"/>
  <c r="N15" i="9"/>
  <c r="N17" i="9"/>
  <c r="N14" i="9"/>
  <c r="N9" i="9"/>
  <c r="F25" i="9"/>
  <c r="H18" i="9"/>
  <c r="N23" i="9"/>
  <c r="N11" i="9"/>
  <c r="F13" i="9"/>
  <c r="N16" i="9"/>
  <c r="H25" i="9"/>
  <c r="H13" i="9"/>
  <c r="H31" i="9" s="1"/>
  <c r="N7" i="9"/>
  <c r="N24" i="9"/>
  <c r="N21" i="9"/>
  <c r="N27" i="9"/>
  <c r="N5" i="9"/>
  <c r="F18" i="9"/>
  <c r="F31" i="9" l="1"/>
  <c r="F17" i="5"/>
  <c r="N18" i="9"/>
  <c r="N13" i="9"/>
  <c r="N31" i="9" s="1"/>
  <c r="N25" i="9"/>
  <c r="U11" i="4" l="1"/>
  <c r="S11" i="4"/>
  <c r="Q11" i="4"/>
  <c r="O11" i="4"/>
  <c r="U10" i="4"/>
  <c r="S10" i="4"/>
  <c r="Q10" i="4"/>
  <c r="O10" i="4"/>
  <c r="U8" i="4"/>
  <c r="S8" i="4"/>
  <c r="Q8" i="4"/>
  <c r="O8" i="4"/>
  <c r="Q16" i="4" l="1"/>
  <c r="V8" i="4"/>
  <c r="V11" i="4"/>
  <c r="V10" i="4"/>
  <c r="U16" i="4" l="1"/>
  <c r="O16" i="4"/>
  <c r="F16" i="5" s="1"/>
  <c r="F26" i="5" s="1"/>
  <c r="S16" i="4"/>
  <c r="F18" i="5" l="1"/>
  <c r="V16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<sst xmlns="http://schemas.openxmlformats.org/spreadsheetml/2006/main" count="217" uniqueCount="162">
  <si>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</si>
  <si>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</si>
  <si>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</si>
  <si>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</si>
  <si>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</si>
  <si>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</si>
  <si>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</si>
  <si>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</si>
  <si>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</si>
  <si>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</si>
  <si>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</si>
  <si>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</si>
  <si>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</si>
  <si>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</si>
  <si>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</si>
  <si>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</si>
  <si>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</si>
  <si>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</si>
  <si>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</si>
  <si>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</si>
  <si>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</si>
  <si>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</si>
  <si>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</si>
  <si>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</si>
  <si>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</si>
  <si>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</si>
  <si>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</si>
  <si>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</si>
  <si>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</si>
  <si>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</si>
  <si>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</si>
  <si>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</si>
  <si>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</si>
  <si>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</si>
  <si>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</si>
  <si>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</si>
  <si>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</si>
  <si>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</si>
  <si>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</si>
  <si>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</si>
  <si>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</si>
  <si>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</si>
  <si>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</si>
  <si>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</si>
  <si>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</si>
  <si>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</si>
  <si>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</si>
  <si>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</si>
  <si>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</si>
  <si>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</si>
  <si>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</si>
  <si>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</si>
  <si>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</si>
  <si>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</si>
  <si>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</si>
  <si>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</si>
  <si>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</si>
  <si>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</si>
  <si>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</si>
  <si>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</si>
  <si>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</si>
  <si>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</si>
  <si>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</si>
  <si>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</si>
  <si>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</si>
  <si>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</si>
  <si>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</si>
  <si>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</si>
  <si>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</si>
  <si>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</si>
  <si>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</si>
  <si>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</si>
  <si>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</si>
  <si>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</si>
  <si>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</si>
  <si>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</si>
  <si>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</si>
  <si>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</si>
  <si>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</si>
  <si>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</si>
  <si>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</si>
  <si>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</si>
  <si>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</si>
  <si>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</si>
  <si>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</si>
  <si>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</si>
  <si>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</si>
  <si>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</si>
  <si>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</si>
  <si>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</si>
  <si>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</si>
  <si>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</si>
  <si>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</si>
  <si>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</si>
  <si>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</si>
  <si>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</si>
  <si>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</si>
  <si>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</si>
  <si>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</si>
  <si>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</si>
  <si>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</si>
  <si>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</si>
  <si>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</si>
  <si>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</si>
  <si>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</si>
  <si>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</si>
  <si>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</si>
  <si>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</si>
  <si>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</si>
  <si>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</si>
  <si>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</si>
  <si>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</si>
  <si>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</si>
  <si>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</si>
  <si>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</si>
  <si>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</si>
  <si>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</si>
  <si>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</si>
  <si>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</si>
  <si>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</si>
  <si>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</si>
  <si>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</si>
  <si>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</si>
  <si>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</si>
  <si>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</si>
  <si>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</si>
  <si>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</si>
  <si>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</si>
  <si>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</si>
  <si>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</si>
  <si>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</si>
  <si>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r>
      <rPr>
        <sz val="10"/>
        <color rgb="FFFF0000"/>
        <rFont val="맑은 고딕"/>
        <family val="3"/>
        <charset val="129"/>
        <scheme val="minor"/>
      </rPr>
      <t>일당 시공량-벽 46㎡</t>
    </r>
    <r>
      <rPr>
        <sz val="10"/>
        <rFont val="맑은 고딕"/>
        <family val="2"/>
        <scheme val="minor"/>
      </rPr>
      <t>, 적산정보 500p 참조,</t>
    </r>
    <r>
      <rPr>
        <sz val="10"/>
        <color rgb="FFFF0000"/>
        <rFont val="맑은 고딕"/>
        <family val="3"/>
        <charset val="129"/>
        <scheme val="minor"/>
      </rPr>
      <t>시공총량186</t>
    </r>
    <r>
      <rPr>
        <sz val="10"/>
        <rFont val="맑은 고딕"/>
        <family val="2"/>
        <scheme val="minor"/>
      </rPr>
      <t>/</t>
    </r>
    <r>
      <rPr>
        <sz val="10"/>
        <color rgb="FFFF0000"/>
        <rFont val="맑은 고딕"/>
        <family val="3"/>
        <charset val="129"/>
        <scheme val="minor"/>
      </rPr>
      <t>일당46</t>
    </r>
    <r>
      <rPr>
        <sz val="10"/>
        <rFont val="맑은 고딕"/>
        <family val="2"/>
        <scheme val="minor"/>
      </rPr>
      <t xml:space="preserve">=4.043, </t>
    </r>
    <phoneticPr fontId="5" type="noConversion"/>
  </si>
  <si>
    <r>
      <rPr>
        <sz val="10"/>
        <color rgb="FFFF0000"/>
        <rFont val="맑은 고딕"/>
        <family val="3"/>
        <charset val="129"/>
        <scheme val="minor"/>
      </rPr>
      <t>일당 시공량-61㎡</t>
    </r>
    <r>
      <rPr>
        <sz val="10"/>
        <rFont val="맑은 고딕"/>
        <family val="2"/>
        <scheme val="minor"/>
      </rPr>
      <t xml:space="preserve"> 적산정보 500p 참조,</t>
    </r>
    <r>
      <rPr>
        <sz val="10"/>
        <color rgb="FFFF0000"/>
        <rFont val="맑은 고딕"/>
        <family val="3"/>
        <charset val="129"/>
        <scheme val="minor"/>
      </rPr>
      <t>시공총량50</t>
    </r>
    <r>
      <rPr>
        <sz val="10"/>
        <rFont val="맑은 고딕"/>
        <family val="2"/>
        <scheme val="minor"/>
      </rPr>
      <t>/</t>
    </r>
    <r>
      <rPr>
        <sz val="10"/>
        <color rgb="FFFF0000"/>
        <rFont val="맑은 고딕"/>
        <family val="3"/>
        <charset val="129"/>
        <scheme val="minor"/>
      </rPr>
      <t>일당61</t>
    </r>
    <r>
      <rPr>
        <sz val="10"/>
        <rFont val="맑은 고딕"/>
        <family val="2"/>
        <scheme val="minor"/>
      </rPr>
      <t xml:space="preserve">=0.0.8196, </t>
    </r>
    <phoneticPr fontId="5" type="noConversion"/>
  </si>
  <si>
    <t>M020853710050101</t>
  </si>
  <si>
    <t>아이리스</t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</si>
  <si>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indexed="8"/>
        <rFont val="Malgun Gothic"/>
        <family val="3"/>
        <charset val="129"/>
      </rPr>
      <t>, 20,900원/16.51=</t>
    </r>
    <r>
      <rPr>
        <b/>
        <sz val="10"/>
        <color rgb="FFFF0000"/>
        <rFont val="Malgun Gothic"/>
        <family val="3"/>
        <charset val="129"/>
      </rPr>
      <t>1,265.9(㎡당)</t>
    </r>
    <phoneticPr fontId="5" type="noConversion"/>
  </si>
  <si>
    <t>㎡</t>
    <phoneticPr fontId="5" type="noConversion"/>
  </si>
  <si>
    <t>M020809012520101</t>
  </si>
  <si>
    <t>비닐시트바닥재</t>
  </si>
  <si>
    <t>데코리아 다솜(륨) 1.8T×1,830㎜</t>
  </si>
  <si>
    <t>E00000801011510601</t>
  </si>
  <si>
    <t>준공청소</t>
  </si>
  <si>
    <t>전체면적</t>
    <phoneticPr fontId="5" type="noConversion"/>
  </si>
  <si>
    <t>(연면적 ㎡당)</t>
  </si>
  <si>
    <t xml:space="preserve">준공청소(특별인부), </t>
    <phoneticPr fontId="13" type="noConversion"/>
  </si>
  <si>
    <t xml:space="preserve"> 공사명 : 사택 104-402 수장공사</t>
    <phoneticPr fontId="11" type="noConversion"/>
  </si>
  <si>
    <t xml:space="preserve"> 견적일 : 2025년  02월  05일</t>
    <phoneticPr fontId="11" type="noConversion"/>
  </si>
  <si>
    <t>사택 104-402 수장공사</t>
    <phoneticPr fontId="5" type="noConversion"/>
  </si>
  <si>
    <t>구분</t>
  </si>
  <si>
    <t>표준단가</t>
  </si>
  <si>
    <t>표준품셈</t>
  </si>
  <si>
    <t>물가정보</t>
  </si>
  <si>
    <t>노임단가</t>
  </si>
  <si>
    <t xml:space="preserve">방충망-2개(가운데방, 현관입구방)교체, 걸레받이 교체-3곳(가운데방(1곳), 현관입구방(1곳), 거실(1곳,)문끌림-1개(안방문), 씽크대 상판 전체 실리콘(들뜸) 재코킹작업, 보수 </t>
    <phoneticPr fontId="5" type="noConversion"/>
  </si>
  <si>
    <t>시중노임단가, 특별인부, 자재비 포함</t>
    <phoneticPr fontId="5" type="noConversion"/>
  </si>
  <si>
    <t>인</t>
    <phoneticPr fontId="5" type="noConversion"/>
  </si>
  <si>
    <t>L003</t>
  </si>
  <si>
    <t>5.기타작업</t>
    <phoneticPr fontId="5" type="noConversion"/>
  </si>
  <si>
    <r>
      <t xml:space="preserve">방충망-2개(가운데방, 현관입구방)교체, 걸레받이 교체-3곳(가운데방(1곳), 현관입구방(1곳), 거실(1곳),문끌림-1개(안방문), 씽크대 상판 전체 실리콘(들뜸) 재코킹작업, </t>
    </r>
    <r>
      <rPr>
        <sz val="10"/>
        <color rgb="FFFF0000"/>
        <rFont val="맑은 고딕"/>
        <family val="3"/>
        <charset val="129"/>
        <scheme val="minor"/>
      </rPr>
      <t>시중노임단가, 특별인부, 자재비 포함</t>
    </r>
    <phoneticPr fontId="5" type="noConversion"/>
  </si>
  <si>
    <r>
      <t xml:space="preserve">방충망-2개(가운데방, 현관입구방)교체, 걸레받이 교체-3곳(가운데방(1곳), 현관입구방(1곳), 거실(1곳),문끌림-1개(안방문), 씽크대 상판 전체 실리콘(들뜸) 재코킹작업, </t>
    </r>
    <r>
      <rPr>
        <sz val="10"/>
        <color rgb="FFFF0000"/>
        <rFont val="맑은 고딕"/>
        <family val="3"/>
        <charset val="129"/>
        <scheme val="minor"/>
      </rPr>
      <t>시중노임단가, 보통인부, 자재비 포함</t>
    </r>
    <phoneticPr fontId="5" type="noConversion"/>
  </si>
  <si>
    <t>L002</t>
    <phoneticPr fontId="5" type="noConversion"/>
  </si>
  <si>
    <t xml:space="preserve">시중노임단가, 보통인부,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</si>
</sst>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#,###,###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#"/>
    <numFmt numFmtId="191" formatCode="0.000_ "/>
  </numFmts>
  <fonts count="5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10"/>
      <name val="LG스마트체 Regular"/>
      <family val="3"/>
      <charset val="129"/>
    </font>
    <font>
      <b/>
      <sz val="9"/>
      <name val="LG스마트체 Regular"/>
      <family val="3"/>
      <charset val="129"/>
    </font>
    <font>
      <sz val="10"/>
      <color indexed="8"/>
      <name val="맑은 고딕"/>
      <family val="2"/>
      <scheme val="minor"/>
    </font>
    <font>
      <sz val="10"/>
      <name val="맑은 고딕"/>
      <family val="2"/>
      <scheme val="minor"/>
    </font>
    <font>
      <sz val="10"/>
      <name val="LG스마트체 Regular"/>
      <family val="3"/>
      <charset val="129"/>
    </font>
    <font>
      <sz val="10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rgb="FFFF0000"/>
      <name val="LG스마트체 Regular"/>
      <family val="3"/>
      <charset val="129"/>
    </font>
    <font>
      <sz val="9"/>
      <color theme="1"/>
      <name val="LG스마트체 Regular"/>
      <family val="3"/>
      <charset val="129"/>
    </font>
    <font>
      <sz val="9"/>
      <color indexed="8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10"/>
      <color theme="1"/>
      <name val="LG스마트체 Regular"/>
      <family val="3"/>
      <charset val="129"/>
    </font>
    <font>
      <sz val="9"/>
      <color indexed="8"/>
      <name val="굴림"/>
      <family val="3"/>
      <charset val="129"/>
    </font>
    <font>
      <sz val="10"/>
      <color indexed="8"/>
      <name val="Malgun Gothic"/>
      <family val="3"/>
      <charset val="129"/>
    </font>
    <font>
      <sz val="10"/>
      <color rgb="FF000000"/>
      <name val="Segoe UI Symbol"/>
      <family val="3"/>
    </font>
    <font>
      <b/>
      <sz val="10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1"/>
      <color rgb="FFFF0000"/>
      <name val="맑은 고딕"/>
      <family val="2"/>
      <scheme val="minor"/>
    </font>
    <font>
      <sz val="9"/>
      <name val="LG스마트체 Regular"/>
      <family val="3"/>
      <charset val="129"/>
    </font>
    <font>
      <sz val="11"/>
      <color rgb="FF000000"/>
      <name val="맑은 고딕"/>
      <family val="2"/>
      <scheme val="minor"/>
    </font>
    <font>
      <sz val="10"/>
      <color rgb="FFFF0000"/>
      <name val="맑은 고딕"/>
      <family val="2"/>
      <scheme val="minor"/>
    </font>
    <font>
      <sz val="12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theme="0" tint="-4.9989318521683403E-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44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0" xfId="3" applyFont="1"/>
    <xf numFmtId="0" fontId="21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1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2" fillId="0" borderId="6" xfId="6" applyFont="1" applyBorder="1" applyAlignment="1">
      <alignment vertical="center"/>
    </xf>
    <xf numFmtId="179" fontId="21" fillId="0" borderId="6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3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3" fillId="0" borderId="11" xfId="6" applyFont="1" applyBorder="1" applyAlignment="1">
      <alignment vertical="center"/>
    </xf>
    <xf numFmtId="1" fontId="23" fillId="0" borderId="11" xfId="6" applyNumberFormat="1" applyFont="1" applyBorder="1" applyAlignment="1">
      <alignment horizontal="center" vertical="center"/>
    </xf>
    <xf numFmtId="180" fontId="23" fillId="0" borderId="11" xfId="7" applyFont="1" applyBorder="1" applyAlignment="1">
      <alignment horizontal="right" vertical="center"/>
    </xf>
    <xf numFmtId="0" fontId="23" fillId="0" borderId="12" xfId="6" applyFont="1" applyBorder="1" applyAlignment="1">
      <alignment vertical="center"/>
    </xf>
    <xf numFmtId="0" fontId="23" fillId="0" borderId="13" xfId="6" applyFont="1" applyBorder="1" applyAlignment="1">
      <alignment horizontal="center" vertical="center"/>
    </xf>
    <xf numFmtId="0" fontId="23" fillId="0" borderId="14" xfId="6" applyFont="1" applyBorder="1" applyAlignment="1">
      <alignment horizontal="center" vertical="center"/>
    </xf>
    <xf numFmtId="0" fontId="23" fillId="0" borderId="14" xfId="3" applyFont="1" applyBorder="1" applyAlignment="1">
      <alignment horizontal="center" vertical="center"/>
    </xf>
    <xf numFmtId="1" fontId="23" fillId="0" borderId="14" xfId="6" applyNumberFormat="1" applyFont="1" applyBorder="1" applyAlignment="1">
      <alignment horizontal="center" vertical="center"/>
    </xf>
    <xf numFmtId="180" fontId="23" fillId="0" borderId="14" xfId="7" applyFont="1" applyBorder="1" applyAlignment="1">
      <alignment horizontal="right" vertical="center"/>
    </xf>
    <xf numFmtId="0" fontId="23" fillId="0" borderId="15" xfId="6" quotePrefix="1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3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3" fillId="0" borderId="14" xfId="8" applyFont="1" applyBorder="1" applyAlignment="1">
      <alignment horizontal="center" vertical="center"/>
    </xf>
    <xf numFmtId="178" fontId="23" fillId="0" borderId="14" xfId="5" applyFont="1" applyFill="1" applyBorder="1" applyAlignment="1">
      <alignment horizontal="right" vertical="center"/>
    </xf>
    <xf numFmtId="0" fontId="23" fillId="4" borderId="14" xfId="8" applyFont="1" applyFill="1" applyBorder="1" applyAlignment="1">
      <alignment horizontal="center" vertical="center"/>
    </xf>
    <xf numFmtId="0" fontId="23" fillId="4" borderId="14" xfId="6" applyFont="1" applyFill="1" applyBorder="1" applyAlignment="1">
      <alignment vertical="center"/>
    </xf>
    <xf numFmtId="0" fontId="23" fillId="4" borderId="14" xfId="6" applyFont="1" applyFill="1" applyBorder="1" applyAlignment="1">
      <alignment horizontal="center" vertical="center"/>
    </xf>
    <xf numFmtId="178" fontId="23" fillId="4" borderId="14" xfId="5" applyFont="1" applyFill="1" applyBorder="1" applyAlignment="1">
      <alignment horizontal="right" vertical="center"/>
    </xf>
    <xf numFmtId="0" fontId="23" fillId="4" borderId="15" xfId="6" applyFont="1" applyFill="1" applyBorder="1" applyAlignment="1">
      <alignment vertical="center"/>
    </xf>
    <xf numFmtId="0" fontId="23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3" fillId="0" borderId="14" xfId="3" applyNumberFormat="1" applyFont="1" applyBorder="1" applyAlignment="1">
      <alignment horizontal="right" vertical="center"/>
    </xf>
    <xf numFmtId="1" fontId="23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3" fillId="0" borderId="14" xfId="3" applyFont="1" applyBorder="1" applyAlignment="1">
      <alignment vertical="center"/>
    </xf>
    <xf numFmtId="180" fontId="23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3" fillId="0" borderId="18" xfId="6" applyFont="1" applyBorder="1" applyAlignment="1">
      <alignment vertical="center"/>
    </xf>
    <xf numFmtId="0" fontId="23" fillId="0" borderId="18" xfId="6" applyFont="1" applyBorder="1" applyAlignment="1">
      <alignment horizontal="right" vertical="center"/>
    </xf>
    <xf numFmtId="0" fontId="23" fillId="0" borderId="19" xfId="6" applyFont="1" applyBorder="1" applyAlignment="1">
      <alignment vertical="center"/>
    </xf>
    <xf numFmtId="0" fontId="12" fillId="0" borderId="0" xfId="10" applyFont="1"/>
    <xf numFmtId="0" fontId="24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1" fontId="24" fillId="2" borderId="0" xfId="2" applyNumberFormat="1" applyFont="1" applyFill="1" applyAlignment="1">
      <alignment horizontal="center" vertical="center"/>
    </xf>
    <xf numFmtId="0" fontId="24" fillId="8" borderId="23" xfId="0" applyFont="1" applyFill="1" applyBorder="1">
      <alignment vertical="center"/>
    </xf>
    <xf numFmtId="0" fontId="24" fillId="8" borderId="20" xfId="0" applyFont="1" applyFill="1" applyBorder="1">
      <alignment vertical="center"/>
    </xf>
    <xf numFmtId="0" fontId="24" fillId="3" borderId="21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177" fontId="24" fillId="3" borderId="2" xfId="4" applyFont="1" applyFill="1" applyBorder="1" applyAlignment="1">
      <alignment horizontal="center" vertical="center"/>
    </xf>
    <xf numFmtId="178" fontId="24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/>
    </xf>
    <xf numFmtId="0" fontId="25" fillId="0" borderId="0" xfId="0" applyFont="1">
      <alignment vertical="center"/>
    </xf>
    <xf numFmtId="0" fontId="24" fillId="4" borderId="0" xfId="0" applyFont="1" applyFill="1">
      <alignment vertical="center"/>
    </xf>
    <xf numFmtId="0" fontId="21" fillId="0" borderId="0" xfId="0" applyFont="1">
      <alignment vertical="center"/>
    </xf>
    <xf numFmtId="183" fontId="26" fillId="0" borderId="30" xfId="15" quotePrefix="1" applyNumberFormat="1" applyFont="1" applyBorder="1" applyAlignment="1">
      <alignment horizontal="center" vertical="center"/>
    </xf>
    <xf numFmtId="177" fontId="25" fillId="0" borderId="30" xfId="13" applyFont="1" applyBorder="1" applyAlignment="1">
      <alignment vertical="center"/>
    </xf>
    <xf numFmtId="185" fontId="25" fillId="0" borderId="30" xfId="13" applyNumberFormat="1" applyFont="1" applyBorder="1" applyAlignment="1">
      <alignment horizontal="center" vertical="center"/>
    </xf>
    <xf numFmtId="177" fontId="25" fillId="0" borderId="30" xfId="13" applyFont="1" applyBorder="1" applyAlignment="1">
      <alignment horizontal="center" vertical="center"/>
    </xf>
    <xf numFmtId="186" fontId="25" fillId="0" borderId="30" xfId="13" applyNumberFormat="1" applyFont="1" applyBorder="1" applyAlignment="1">
      <alignment horizontal="center" vertical="center"/>
    </xf>
    <xf numFmtId="183" fontId="25" fillId="4" borderId="30" xfId="13" applyNumberFormat="1" applyFont="1" applyFill="1" applyBorder="1" applyAlignment="1">
      <alignment horizontal="right" vertical="center" wrapText="1"/>
    </xf>
    <xf numFmtId="186" fontId="25" fillId="9" borderId="30" xfId="13" applyNumberFormat="1" applyFont="1" applyFill="1" applyBorder="1" applyAlignment="1">
      <alignment horizontal="center" vertical="center"/>
    </xf>
    <xf numFmtId="185" fontId="25" fillId="10" borderId="30" xfId="13" applyNumberFormat="1" applyFont="1" applyFill="1" applyBorder="1" applyAlignment="1">
      <alignment horizontal="center" vertical="center"/>
    </xf>
    <xf numFmtId="177" fontId="25" fillId="10" borderId="30" xfId="13" applyFont="1" applyFill="1" applyBorder="1" applyAlignment="1">
      <alignment horizontal="center" vertical="center"/>
    </xf>
    <xf numFmtId="186" fontId="26" fillId="10" borderId="30" xfId="13" applyNumberFormat="1" applyFont="1" applyFill="1" applyBorder="1" applyAlignment="1">
      <alignment horizontal="center" vertical="center"/>
    </xf>
    <xf numFmtId="183" fontId="26" fillId="10" borderId="30" xfId="13" applyNumberFormat="1" applyFont="1" applyFill="1" applyBorder="1" applyAlignment="1">
      <alignment horizontal="right" vertical="center" wrapText="1"/>
    </xf>
    <xf numFmtId="183" fontId="25" fillId="0" borderId="30" xfId="13" applyNumberFormat="1" applyFont="1" applyBorder="1" applyAlignment="1">
      <alignment horizontal="center" vertical="center" wrapText="1"/>
    </xf>
    <xf numFmtId="183" fontId="26" fillId="10" borderId="30" xfId="13" applyNumberFormat="1" applyFont="1" applyFill="1" applyBorder="1" applyAlignment="1">
      <alignment horizontal="center" vertical="center" wrapText="1"/>
    </xf>
    <xf numFmtId="185" fontId="25" fillId="4" borderId="30" xfId="13" applyNumberFormat="1" applyFont="1" applyFill="1" applyBorder="1" applyAlignment="1">
      <alignment horizontal="center" vertical="center"/>
    </xf>
    <xf numFmtId="177" fontId="25" fillId="4" borderId="30" xfId="13" applyFont="1" applyFill="1" applyBorder="1" applyAlignment="1">
      <alignment horizontal="center" vertical="center"/>
    </xf>
    <xf numFmtId="183" fontId="25" fillId="4" borderId="30" xfId="13" applyNumberFormat="1" applyFont="1" applyFill="1" applyBorder="1" applyAlignment="1">
      <alignment horizontal="center" vertical="center" wrapText="1"/>
    </xf>
    <xf numFmtId="185" fontId="26" fillId="10" borderId="30" xfId="13" applyNumberFormat="1" applyFont="1" applyFill="1" applyBorder="1" applyAlignment="1">
      <alignment horizontal="center" vertical="center"/>
    </xf>
    <xf numFmtId="177" fontId="26" fillId="10" borderId="30" xfId="13" applyFont="1" applyFill="1" applyBorder="1" applyAlignment="1">
      <alignment horizontal="center" vertical="center"/>
    </xf>
    <xf numFmtId="183" fontId="19" fillId="4" borderId="30" xfId="13" applyNumberFormat="1" applyFont="1" applyFill="1" applyBorder="1" applyAlignment="1">
      <alignment horizontal="center" vertical="center" wrapText="1"/>
    </xf>
    <xf numFmtId="186" fontId="25" fillId="10" borderId="30" xfId="13" applyNumberFormat="1" applyFont="1" applyFill="1" applyBorder="1" applyAlignment="1">
      <alignment horizontal="center" vertical="center"/>
    </xf>
    <xf numFmtId="183" fontId="25" fillId="10" borderId="30" xfId="13" applyNumberFormat="1" applyFont="1" applyFill="1" applyBorder="1" applyAlignment="1">
      <alignment horizontal="right" vertical="center" wrapText="1"/>
    </xf>
    <xf numFmtId="183" fontId="25" fillId="10" borderId="30" xfId="13" applyNumberFormat="1" applyFont="1" applyFill="1" applyBorder="1" applyAlignment="1">
      <alignment vertical="center" wrapText="1"/>
    </xf>
    <xf numFmtId="183" fontId="26" fillId="10" borderId="30" xfId="13" applyNumberFormat="1" applyFont="1" applyFill="1" applyBorder="1" applyAlignment="1">
      <alignment vertical="center" wrapText="1"/>
    </xf>
    <xf numFmtId="0" fontId="21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24" fillId="10" borderId="30" xfId="13" applyNumberFormat="1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24" fillId="3" borderId="2" xfId="3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4" fillId="0" borderId="31" xfId="13" applyNumberFormat="1" applyFont="1" applyBorder="1" applyAlignment="1">
      <alignment vertical="center"/>
    </xf>
    <xf numFmtId="0" fontId="24" fillId="0" borderId="34" xfId="13" applyNumberFormat="1" applyFont="1" applyBorder="1" applyAlignment="1">
      <alignment vertical="center"/>
    </xf>
    <xf numFmtId="0" fontId="26" fillId="0" borderId="30" xfId="15" quotePrefix="1" applyFont="1" applyBorder="1" applyAlignment="1">
      <alignment horizontal="center" vertical="center"/>
    </xf>
    <xf numFmtId="0" fontId="23" fillId="0" borderId="0" xfId="0" applyFont="1">
      <alignment vertical="center"/>
    </xf>
    <xf numFmtId="0" fontId="31" fillId="4" borderId="2" xfId="0" applyFont="1" applyFill="1" applyBorder="1" applyAlignment="1">
      <alignment horizontal="center" vertical="center" wrapText="1"/>
    </xf>
    <xf numFmtId="0" fontId="32" fillId="4" borderId="2" xfId="0" applyFont="1" applyFill="1" applyBorder="1">
      <alignment vertical="center"/>
    </xf>
    <xf numFmtId="187" fontId="32" fillId="4" borderId="2" xfId="0" applyNumberFormat="1" applyFont="1" applyFill="1" applyBorder="1" applyAlignment="1">
      <alignment horizontal="right" vertical="center" wrapText="1"/>
    </xf>
    <xf numFmtId="0" fontId="33" fillId="4" borderId="2" xfId="0" applyFont="1" applyFill="1" applyBorder="1" applyAlignment="1">
      <alignment horizontal="center"/>
    </xf>
    <xf numFmtId="188" fontId="32" fillId="4" borderId="2" xfId="1" applyNumberFormat="1" applyFont="1" applyFill="1" applyBorder="1" applyAlignment="1">
      <alignment horizontal="center" vertical="center"/>
    </xf>
    <xf numFmtId="183" fontId="31" fillId="4" borderId="2" xfId="0" applyNumberFormat="1" applyFont="1" applyFill="1" applyBorder="1" applyAlignment="1">
      <alignment vertical="center" wrapText="1"/>
    </xf>
    <xf numFmtId="182" fontId="32" fillId="4" borderId="2" xfId="0" applyNumberFormat="1" applyFont="1" applyFill="1" applyBorder="1" applyAlignment="1">
      <alignment horizontal="right" vertical="center" wrapText="1"/>
    </xf>
    <xf numFmtId="0" fontId="23" fillId="4" borderId="0" xfId="0" applyFont="1" applyFill="1">
      <alignment vertical="center"/>
    </xf>
    <xf numFmtId="0" fontId="23" fillId="4" borderId="0" xfId="0" applyFont="1" applyFill="1" applyAlignment="1">
      <alignment horizontal="center" vertical="center"/>
    </xf>
    <xf numFmtId="49" fontId="32" fillId="4" borderId="2" xfId="0" applyNumberFormat="1" applyFont="1" applyFill="1" applyBorder="1" applyAlignment="1">
      <alignment horizontal="center" vertical="center"/>
    </xf>
    <xf numFmtId="0" fontId="33" fillId="4" borderId="2" xfId="0" applyFont="1" applyFill="1" applyBorder="1" applyAlignment="1">
      <alignment horizontal="center" wrapText="1"/>
    </xf>
    <xf numFmtId="0" fontId="30" fillId="6" borderId="2" xfId="0" applyFont="1" applyFill="1" applyBorder="1" applyAlignment="1">
      <alignment horizontal="center" vertical="center"/>
    </xf>
    <xf numFmtId="188" fontId="32" fillId="0" borderId="2" xfId="1" applyNumberFormat="1" applyFont="1" applyFill="1" applyBorder="1" applyAlignment="1">
      <alignment horizontal="center" vertical="center"/>
    </xf>
    <xf numFmtId="177" fontId="27" fillId="0" borderId="0" xfId="0" applyNumberFormat="1" applyFont="1">
      <alignment vertical="center"/>
    </xf>
    <xf numFmtId="0" fontId="27" fillId="0" borderId="0" xfId="0" applyFont="1">
      <alignment vertical="center"/>
    </xf>
    <xf numFmtId="183" fontId="37" fillId="4" borderId="30" xfId="13" applyNumberFormat="1" applyFont="1" applyFill="1" applyBorder="1" applyAlignment="1">
      <alignment horizontal="right" vertical="center" wrapText="1"/>
    </xf>
    <xf numFmtId="183" fontId="37" fillId="0" borderId="30" xfId="13" applyNumberFormat="1" applyFont="1" applyBorder="1" applyAlignment="1">
      <alignment horizontal="right" vertical="center" wrapText="1"/>
    </xf>
    <xf numFmtId="183" fontId="37" fillId="0" borderId="30" xfId="13" applyNumberFormat="1" applyFont="1" applyFill="1" applyBorder="1" applyAlignment="1">
      <alignment horizontal="right" vertical="center" wrapText="1"/>
    </xf>
    <xf numFmtId="0" fontId="24" fillId="7" borderId="30" xfId="13" applyNumberFormat="1" applyFont="1" applyFill="1" applyBorder="1" applyAlignment="1">
      <alignment horizontal="center" vertical="center"/>
    </xf>
    <xf numFmtId="185" fontId="25" fillId="7" borderId="30" xfId="13" applyNumberFormat="1" applyFont="1" applyFill="1" applyBorder="1" applyAlignment="1">
      <alignment horizontal="center" vertical="center"/>
    </xf>
    <xf numFmtId="177" fontId="25" fillId="7" borderId="30" xfId="13" applyFont="1" applyFill="1" applyBorder="1" applyAlignment="1">
      <alignment horizontal="center" vertical="center"/>
    </xf>
    <xf numFmtId="186" fontId="26" fillId="7" borderId="30" xfId="13" applyNumberFormat="1" applyFont="1" applyFill="1" applyBorder="1" applyAlignment="1">
      <alignment horizontal="center" vertical="center"/>
    </xf>
    <xf numFmtId="183" fontId="26" fillId="7" borderId="30" xfId="13" applyNumberFormat="1" applyFont="1" applyFill="1" applyBorder="1" applyAlignment="1">
      <alignment horizontal="right" vertical="center" wrapText="1"/>
    </xf>
    <xf numFmtId="189" fontId="25" fillId="4" borderId="30" xfId="13" applyNumberFormat="1" applyFont="1" applyFill="1" applyBorder="1" applyAlignment="1">
      <alignment horizontal="center" vertical="center" wrapText="1"/>
    </xf>
    <xf numFmtId="0" fontId="40" fillId="4" borderId="30" xfId="13" applyNumberFormat="1" applyFont="1" applyFill="1" applyBorder="1" applyAlignment="1">
      <alignment vertical="center"/>
    </xf>
    <xf numFmtId="183" fontId="36" fillId="4" borderId="30" xfId="13" applyNumberFormat="1" applyFont="1" applyFill="1" applyBorder="1" applyAlignment="1">
      <alignment horizontal="right" vertical="center" wrapText="1"/>
    </xf>
    <xf numFmtId="49" fontId="41" fillId="4" borderId="30" xfId="0" applyNumberFormat="1" applyFont="1" applyFill="1" applyBorder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177" fontId="39" fillId="4" borderId="0" xfId="1" applyFont="1" applyFill="1" applyBorder="1" applyAlignment="1">
      <alignment horizontal="center" vertical="center" wrapText="1"/>
    </xf>
    <xf numFmtId="177" fontId="40" fillId="5" borderId="2" xfId="1" applyFont="1" applyFill="1" applyBorder="1" applyAlignment="1">
      <alignment horizontal="center" vertical="center" wrapText="1"/>
    </xf>
    <xf numFmtId="0" fontId="33" fillId="4" borderId="2" xfId="0" applyFont="1" applyFill="1" applyBorder="1" applyAlignment="1">
      <alignment horizontal="center" vertical="center"/>
    </xf>
    <xf numFmtId="49" fontId="38" fillId="4" borderId="2" xfId="0" applyNumberFormat="1" applyFont="1" applyFill="1" applyBorder="1" applyAlignment="1">
      <alignment horizontal="center" vertical="center"/>
    </xf>
    <xf numFmtId="0" fontId="31" fillId="4" borderId="2" xfId="0" applyFont="1" applyFill="1" applyBorder="1" applyAlignment="1">
      <alignment horizontal="center" vertical="center"/>
    </xf>
    <xf numFmtId="183" fontId="29" fillId="10" borderId="30" xfId="13" applyNumberFormat="1" applyFont="1" applyFill="1" applyBorder="1" applyAlignment="1">
      <alignment horizontal="right" vertical="center" wrapText="1"/>
    </xf>
    <xf numFmtId="0" fontId="35" fillId="4" borderId="2" xfId="0" applyFont="1" applyFill="1" applyBorder="1" applyAlignment="1">
      <alignment horizontal="center" vertical="center" wrapText="1"/>
    </xf>
    <xf numFmtId="0" fontId="42" fillId="6" borderId="2" xfId="0" applyFont="1" applyFill="1" applyBorder="1" applyAlignment="1">
      <alignment horizontal="center" vertical="center"/>
    </xf>
    <xf numFmtId="177" fontId="32" fillId="0" borderId="2" xfId="1" applyFont="1" applyFill="1" applyBorder="1" applyAlignment="1">
      <alignment horizontal="center" vertical="center" wrapText="1"/>
    </xf>
    <xf numFmtId="177" fontId="45" fillId="4" borderId="2" xfId="1" applyFont="1" applyFill="1" applyBorder="1" applyAlignment="1">
      <alignment horizontal="center" vertical="center" wrapText="1"/>
    </xf>
    <xf numFmtId="0" fontId="0" fillId="4" borderId="2" xfId="0" applyFill="1" applyBorder="1" applyAlignment="1"/>
    <xf numFmtId="177" fontId="0" fillId="4" borderId="0" xfId="1" applyFont="1" applyFill="1" applyAlignment="1"/>
    <xf numFmtId="186" fontId="36" fillId="4" borderId="30" xfId="13" applyNumberFormat="1" applyFont="1" applyFill="1" applyBorder="1" applyAlignment="1">
      <alignment horizontal="center" vertical="center"/>
    </xf>
    <xf numFmtId="183" fontId="47" fillId="4" borderId="30" xfId="13" applyNumberFormat="1" applyFont="1" applyFill="1" applyBorder="1" applyAlignment="1">
      <alignment horizontal="right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0" fontId="48" fillId="0" borderId="0" xfId="0" applyFont="1">
      <alignment vertical="center"/>
    </xf>
    <xf numFmtId="190" fontId="19" fillId="6" borderId="37" xfId="1" applyNumberFormat="1" applyFont="1" applyFill="1" applyBorder="1" applyAlignment="1">
      <alignment horizontal="center" vertical="center"/>
    </xf>
    <xf numFmtId="190" fontId="19" fillId="0" borderId="37" xfId="1" applyNumberFormat="1" applyFont="1" applyBorder="1" applyAlignment="1">
      <alignment horizontal="center" vertical="center"/>
    </xf>
    <xf numFmtId="191" fontId="19" fillId="0" borderId="37" xfId="1" applyNumberFormat="1" applyFont="1" applyBorder="1" applyAlignment="1">
      <alignment horizontal="center" vertical="center"/>
    </xf>
    <xf numFmtId="190" fontId="21" fillId="0" borderId="0" xfId="1" applyNumberFormat="1" applyFont="1" applyAlignment="1">
      <alignment horizontal="center" vertical="center"/>
    </xf>
    <xf numFmtId="0" fontId="30" fillId="6" borderId="2" xfId="0" applyFont="1" applyFill="1" applyBorder="1" applyAlignment="1">
      <alignment horizontal="center"/>
    </xf>
    <xf numFmtId="0" fontId="42" fillId="4" borderId="2" xfId="0" applyFont="1" applyFill="1" applyBorder="1" applyAlignment="1">
      <alignment horizontal="center" vertical="center"/>
    </xf>
    <xf numFmtId="0" fontId="42" fillId="4" borderId="2" xfId="0" applyFont="1" applyFill="1" applyBorder="1" applyAlignment="1">
      <alignment horizontal="center" vertical="center" wrapText="1"/>
    </xf>
    <xf numFmtId="49" fontId="42" fillId="4" borderId="2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46" fillId="4" borderId="2" xfId="0" applyFont="1" applyFill="1" applyBorder="1" applyAlignment="1">
      <alignment horizontal="center"/>
    </xf>
    <xf numFmtId="49" fontId="42" fillId="4" borderId="0" xfId="0" applyNumberFormat="1" applyFont="1" applyFill="1" applyAlignment="1">
      <alignment horizontal="center" vertical="center"/>
    </xf>
    <xf numFmtId="0" fontId="30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32" fillId="4" borderId="2" xfId="0" applyFont="1" applyFill="1" applyBorder="1" applyAlignment="1">
      <alignment horizontal="center" vertical="center"/>
    </xf>
    <xf numFmtId="0" fontId="19" fillId="5" borderId="38" xfId="0" applyFont="1" applyFill="1" applyBorder="1" applyAlignment="1">
      <alignment horizontal="center" vertical="center"/>
    </xf>
    <xf numFmtId="49" fontId="19" fillId="6" borderId="38" xfId="0" applyNumberFormat="1" applyFont="1" applyFill="1" applyBorder="1" applyAlignment="1">
      <alignment horizontal="center" vertical="center"/>
    </xf>
    <xf numFmtId="0" fontId="30" fillId="6" borderId="38" xfId="0" applyFont="1" applyFill="1" applyBorder="1" applyAlignment="1">
      <alignment horizontal="center"/>
    </xf>
    <xf numFmtId="0" fontId="19" fillId="6" borderId="38" xfId="0" applyFont="1" applyFill="1" applyBorder="1" applyAlignment="1">
      <alignment horizontal="center" vertical="center"/>
    </xf>
    <xf numFmtId="0" fontId="30" fillId="4" borderId="38" xfId="0" applyFont="1" applyFill="1" applyBorder="1" applyAlignment="1">
      <alignment horizontal="center"/>
    </xf>
    <xf numFmtId="0" fontId="49" fillId="4" borderId="38" xfId="0" applyFont="1" applyFill="1" applyBorder="1" applyAlignment="1">
      <alignment horizontal="center"/>
    </xf>
    <xf numFmtId="0" fontId="0" fillId="4" borderId="38" xfId="0" applyFill="1" applyBorder="1" applyAlignment="1"/>
    <xf numFmtId="188" fontId="32" fillId="4" borderId="38" xfId="1" applyNumberFormat="1" applyFont="1" applyFill="1" applyBorder="1" applyAlignment="1">
      <alignment horizontal="center" vertical="center"/>
    </xf>
    <xf numFmtId="0" fontId="32" fillId="4" borderId="38" xfId="0" applyFont="1" applyFill="1" applyBorder="1">
      <alignment vertical="center"/>
    </xf>
    <xf numFmtId="177" fontId="19" fillId="5" borderId="38" xfId="1" applyFont="1" applyFill="1" applyBorder="1" applyAlignment="1">
      <alignment horizontal="center" vertical="center" wrapText="1"/>
    </xf>
    <xf numFmtId="177" fontId="19" fillId="0" borderId="38" xfId="1" applyFont="1" applyFill="1" applyBorder="1" applyAlignment="1">
      <alignment horizontal="center" vertical="center" wrapText="1"/>
    </xf>
    <xf numFmtId="188" fontId="32" fillId="0" borderId="38" xfId="1" applyNumberFormat="1" applyFont="1" applyFill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49" fontId="39" fillId="6" borderId="2" xfId="0" applyNumberFormat="1" applyFont="1" applyFill="1" applyBorder="1" applyAlignment="1">
      <alignment horizontal="center" vertical="center" wrapText="1"/>
    </xf>
    <xf numFmtId="177" fontId="0" fillId="4" borderId="2" xfId="1" applyFont="1" applyFill="1" applyBorder="1" applyAlignment="1"/>
    <xf numFmtId="177" fontId="30" fillId="4" borderId="2" xfId="1" applyFont="1" applyFill="1" applyBorder="1" applyAlignment="1">
      <alignment horizontal="center" vertical="center"/>
    </xf>
    <xf numFmtId="186" fontId="25" fillId="4" borderId="30" xfId="13" applyNumberFormat="1" applyFont="1" applyFill="1" applyBorder="1" applyAlignment="1">
      <alignment horizontal="center" vertical="center"/>
    </xf>
    <xf numFmtId="0" fontId="30" fillId="4" borderId="30" xfId="0" applyFont="1" applyFill="1" applyBorder="1" applyAlignment="1">
      <alignment horizontal="center" vertical="center" wrapText="1"/>
    </xf>
    <xf numFmtId="0" fontId="31" fillId="4" borderId="30" xfId="0" applyFont="1" applyFill="1" applyBorder="1" applyAlignment="1">
      <alignment horizontal="center" vertical="center" wrapText="1"/>
    </xf>
    <xf numFmtId="185" fontId="25" fillId="12" borderId="30" xfId="13" applyNumberFormat="1" applyFont="1" applyFill="1" applyBorder="1" applyAlignment="1">
      <alignment horizontal="center" vertical="center"/>
    </xf>
    <xf numFmtId="177" fontId="25" fillId="12" borderId="30" xfId="13" applyFont="1" applyFill="1" applyBorder="1" applyAlignment="1">
      <alignment horizontal="center" vertical="center"/>
    </xf>
    <xf numFmtId="186" fontId="25" fillId="12" borderId="30" xfId="13" applyNumberFormat="1" applyFont="1" applyFill="1" applyBorder="1" applyAlignment="1">
      <alignment horizontal="center" vertical="center"/>
    </xf>
    <xf numFmtId="183" fontId="47" fillId="12" borderId="30" xfId="13" applyNumberFormat="1" applyFont="1" applyFill="1" applyBorder="1" applyAlignment="1">
      <alignment horizontal="right" vertical="center" wrapText="1"/>
    </xf>
    <xf numFmtId="183" fontId="37" fillId="12" borderId="30" xfId="13" applyNumberFormat="1" applyFont="1" applyFill="1" applyBorder="1" applyAlignment="1">
      <alignment horizontal="right" vertical="center" wrapText="1"/>
    </xf>
    <xf numFmtId="0" fontId="50" fillId="0" borderId="14" xfId="3" applyFont="1" applyBorder="1" applyAlignment="1">
      <alignment horizontal="left" vertical="center"/>
    </xf>
    <xf numFmtId="0" fontId="50" fillId="0" borderId="14" xfId="6" applyFont="1" applyBorder="1" applyAlignment="1">
      <alignment horizontal="center" vertical="center"/>
    </xf>
    <xf numFmtId="178" fontId="50" fillId="0" borderId="14" xfId="5" applyFont="1" applyFill="1" applyBorder="1" applyAlignment="1">
      <alignment horizontal="right" vertical="center"/>
    </xf>
    <xf numFmtId="0" fontId="18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8" borderId="2" xfId="0" applyFont="1" applyFill="1" applyBorder="1" applyAlignment="1">
      <alignment horizontal="center" vertical="center"/>
    </xf>
    <xf numFmtId="177" fontId="24" fillId="3" borderId="20" xfId="4" applyFont="1" applyFill="1" applyBorder="1" applyAlignment="1">
      <alignment horizontal="center" vertical="center"/>
    </xf>
    <xf numFmtId="178" fontId="24" fillId="3" borderId="20" xfId="5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24" fillId="3" borderId="20" xfId="3" applyFont="1" applyFill="1" applyBorder="1" applyAlignment="1">
      <alignment horizontal="center" vertical="center"/>
    </xf>
    <xf numFmtId="0" fontId="24" fillId="3" borderId="2" xfId="3" applyFont="1" applyFill="1" applyBorder="1" applyAlignment="1">
      <alignment horizontal="center" vertical="center"/>
    </xf>
    <xf numFmtId="183" fontId="19" fillId="0" borderId="31" xfId="13" applyNumberFormat="1" applyFont="1" applyBorder="1" applyAlignment="1">
      <alignment horizontal="center" vertical="center" wrapText="1"/>
    </xf>
    <xf numFmtId="183" fontId="19" fillId="0" borderId="35" xfId="13" applyNumberFormat="1" applyFont="1" applyBorder="1" applyAlignment="1">
      <alignment horizontal="center" vertical="center" wrapText="1"/>
    </xf>
    <xf numFmtId="0" fontId="19" fillId="9" borderId="35" xfId="13" applyNumberFormat="1" applyFont="1" applyFill="1" applyBorder="1" applyAlignment="1">
      <alignment vertical="center"/>
    </xf>
    <xf numFmtId="0" fontId="19" fillId="9" borderId="34" xfId="13" applyNumberFormat="1" applyFont="1" applyFill="1" applyBorder="1" applyAlignment="1">
      <alignment vertical="center"/>
    </xf>
    <xf numFmtId="183" fontId="19" fillId="0" borderId="34" xfId="13" applyNumberFormat="1" applyFont="1" applyBorder="1" applyAlignment="1">
      <alignment horizontal="center" vertical="center" wrapText="1"/>
    </xf>
    <xf numFmtId="0" fontId="22" fillId="0" borderId="29" xfId="15" applyFont="1" applyBorder="1" applyAlignment="1">
      <alignment horizontal="center" vertical="center"/>
    </xf>
    <xf numFmtId="0" fontId="24" fillId="0" borderId="30" xfId="15" quotePrefix="1" applyFont="1" applyBorder="1" applyAlignment="1">
      <alignment horizontal="center" vertical="center"/>
    </xf>
    <xf numFmtId="0" fontId="26" fillId="0" borderId="30" xfId="15" quotePrefix="1" applyFont="1" applyBorder="1" applyAlignment="1">
      <alignment horizontal="center" vertical="center"/>
    </xf>
    <xf numFmtId="0" fontId="26" fillId="0" borderId="31" xfId="15" quotePrefix="1" applyFont="1" applyBorder="1" applyAlignment="1">
      <alignment horizontal="center" vertical="center"/>
    </xf>
    <xf numFmtId="0" fontId="26" fillId="0" borderId="34" xfId="15" quotePrefix="1" applyFont="1" applyBorder="1" applyAlignment="1">
      <alignment horizontal="center" vertical="center"/>
    </xf>
    <xf numFmtId="0" fontId="26" fillId="0" borderId="30" xfId="15" applyFont="1" applyBorder="1" applyAlignment="1">
      <alignment horizontal="center" vertical="center"/>
    </xf>
    <xf numFmtId="0" fontId="26" fillId="0" borderId="32" xfId="15" quotePrefix="1" applyFont="1" applyBorder="1" applyAlignment="1">
      <alignment horizontal="center" vertical="center"/>
    </xf>
    <xf numFmtId="0" fontId="26" fillId="0" borderId="33" xfId="15" quotePrefix="1" applyFont="1" applyBorder="1" applyAlignment="1">
      <alignment horizontal="center" vertical="center"/>
    </xf>
    <xf numFmtId="0" fontId="26" fillId="0" borderId="31" xfId="15" applyFont="1" applyBorder="1" applyAlignment="1">
      <alignment horizontal="center" vertical="center"/>
    </xf>
    <xf numFmtId="0" fontId="26" fillId="0" borderId="34" xfId="15" applyFont="1" applyBorder="1" applyAlignment="1">
      <alignment horizontal="center" vertical="center"/>
    </xf>
    <xf numFmtId="0" fontId="19" fillId="0" borderId="30" xfId="13" applyNumberFormat="1" applyFont="1" applyBorder="1" applyAlignment="1">
      <alignment vertical="center"/>
    </xf>
    <xf numFmtId="0" fontId="19" fillId="0" borderId="31" xfId="13" applyNumberFormat="1" applyFont="1" applyBorder="1" applyAlignment="1">
      <alignment vertical="center"/>
    </xf>
    <xf numFmtId="0" fontId="19" fillId="0" borderId="35" xfId="13" applyNumberFormat="1" applyFont="1" applyBorder="1" applyAlignment="1">
      <alignment vertical="center"/>
    </xf>
    <xf numFmtId="0" fontId="24" fillId="4" borderId="31" xfId="13" applyNumberFormat="1" applyFont="1" applyFill="1" applyBorder="1" applyAlignment="1">
      <alignment vertical="center"/>
    </xf>
    <xf numFmtId="0" fontId="24" fillId="4" borderId="34" xfId="13" applyNumberFormat="1" applyFont="1" applyFill="1" applyBorder="1" applyAlignment="1">
      <alignment vertical="center"/>
    </xf>
    <xf numFmtId="184" fontId="28" fillId="10" borderId="32" xfId="13" applyNumberFormat="1" applyFont="1" applyFill="1" applyBorder="1" applyAlignment="1">
      <alignment vertical="center"/>
    </xf>
    <xf numFmtId="184" fontId="29" fillId="10" borderId="33" xfId="13" applyNumberFormat="1" applyFont="1" applyFill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7" zoomScale="85" zoomScaleNormal="85" workbookViewId="0">
      <selection activeCell="J23" sqref="J23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>
      <c r="A2" s="205" t="s">
        <v>1</v>
      </c>
      <c r="B2" s="205"/>
      <c r="C2" s="205"/>
      <c r="D2" s="205"/>
      <c r="E2" s="205"/>
      <c r="F2" s="205"/>
      <c r="G2" s="205"/>
      <c r="H2" s="2"/>
    </row>
    <row r="3" spans="1:9" ht="14.25">
      <c r="A3" s="5"/>
      <c r="B3" s="5"/>
      <c r="C3" s="5"/>
      <c r="D3" s="5"/>
      <c r="E3" s="5"/>
      <c r="F3" s="5"/>
      <c r="G3" s="5"/>
      <c r="H3" s="5"/>
    </row>
    <row r="4" spans="1:9" ht="14.25">
      <c r="A4" s="5"/>
      <c r="B4" s="5"/>
      <c r="C4" s="5"/>
      <c r="D4" s="5"/>
      <c r="E4" s="5"/>
      <c r="H4" s="5"/>
    </row>
    <row r="5" spans="1:9" ht="27" customHeight="1">
      <c r="A5" s="6" t="s">
        <v>43</v>
      </c>
      <c r="B5" s="7"/>
      <c r="C5" s="8"/>
      <c r="D5" s="5"/>
      <c r="E5" s="5"/>
      <c r="F5" s="9" t="s">
        <v>33</v>
      </c>
      <c r="G5" s="10" t="s">
        <v>47</v>
      </c>
      <c r="H5" s="5"/>
    </row>
    <row r="6" spans="1:9" ht="27" customHeight="1">
      <c r="A6" s="5"/>
      <c r="B6" s="5"/>
      <c r="C6" s="5"/>
      <c r="D6" s="5"/>
      <c r="E6" s="5"/>
      <c r="F6" s="11" t="s">
        <v>36</v>
      </c>
      <c r="G6" s="12" t="s">
        <v>48</v>
      </c>
      <c r="H6" s="5"/>
    </row>
    <row r="7" spans="1:9" ht="27" customHeight="1">
      <c r="A7" s="208" t="s">
        <v>145</v>
      </c>
      <c r="B7" s="209"/>
      <c r="C7" s="210"/>
      <c r="D7" s="5"/>
      <c r="E7" s="13"/>
      <c r="F7" s="14" t="s">
        <v>37</v>
      </c>
      <c r="G7" s="12" t="s">
        <v>49</v>
      </c>
      <c r="H7" s="5"/>
    </row>
    <row r="8" spans="1:9" ht="27" customHeight="1">
      <c r="A8" s="5"/>
      <c r="B8" s="5"/>
      <c r="C8" s="5"/>
      <c r="D8" s="5"/>
      <c r="E8" s="5"/>
      <c r="F8" s="11" t="s">
        <v>38</v>
      </c>
      <c r="G8" s="12" t="s">
        <v>50</v>
      </c>
      <c r="H8" s="5"/>
    </row>
    <row r="9" spans="1:9" ht="27" customHeight="1">
      <c r="A9" s="208" t="s">
        <v>146</v>
      </c>
      <c r="B9" s="209"/>
      <c r="C9" s="210"/>
      <c r="D9" s="5"/>
      <c r="E9" s="5"/>
      <c r="F9" s="11" t="s">
        <v>39</v>
      </c>
      <c r="G9" s="12" t="s">
        <v>51</v>
      </c>
      <c r="H9" s="5"/>
    </row>
    <row r="10" spans="1:9" ht="27" customHeight="1">
      <c r="A10" s="5"/>
      <c r="B10" s="5"/>
      <c r="C10" s="5"/>
      <c r="D10" s="5"/>
      <c r="E10" s="5"/>
      <c r="F10" s="15" t="s">
        <v>34</v>
      </c>
      <c r="G10" s="16" t="s">
        <v>52</v>
      </c>
      <c r="H10" s="5"/>
      <c r="I10" s="5"/>
    </row>
    <row r="11" spans="1:9" ht="27" customHeight="1">
      <c r="A11" s="206"/>
      <c r="B11" s="207"/>
      <c r="C11" s="207"/>
      <c r="D11" s="5"/>
      <c r="E11" s="17"/>
      <c r="F11" s="18" t="s">
        <v>35</v>
      </c>
      <c r="G11" s="19" t="s">
        <v>53</v>
      </c>
      <c r="H11" s="17"/>
    </row>
    <row r="12" spans="1:9" ht="18.75" thickBot="1">
      <c r="A12" s="20" t="s">
        <v>2</v>
      </c>
      <c r="B12" s="20" t="str">
        <f>NUMBERSTRING(F31,1)</f>
        <v>사백사십육만일천</v>
      </c>
      <c r="C12" s="21"/>
      <c r="D12" s="1" t="s">
        <v>3</v>
      </c>
      <c r="E12" s="1" t="s">
        <v>4</v>
      </c>
      <c r="F12" s="1" t="s">
        <v>4</v>
      </c>
      <c r="G12" s="1"/>
      <c r="H12" s="22"/>
    </row>
    <row r="13" spans="1:9" ht="15.75" thickTop="1" thickBot="1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>
      <c r="A14" s="23" t="s">
        <v>5</v>
      </c>
      <c r="B14" s="24" t="s">
        <v>6</v>
      </c>
      <c r="C14" s="24" t="s">
        <v>7</v>
      </c>
      <c r="D14" s="24" t="s">
        <v>8</v>
      </c>
      <c r="E14" s="24" t="s">
        <v>9</v>
      </c>
      <c r="F14" s="24" t="s">
        <v>10</v>
      </c>
      <c r="G14" s="25" t="s">
        <v>11</v>
      </c>
      <c r="H14" s="22"/>
    </row>
    <row r="15" spans="1:9" ht="33" customHeight="1" thickTop="1">
      <c r="A15" s="26"/>
      <c r="B15" s="27" t="s">
        <v>12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13</v>
      </c>
      <c r="C16" s="34"/>
      <c r="D16" s="35"/>
      <c r="E16" s="35"/>
      <c r="F16" s="36">
        <f>'내역서(표준단가)'!O16</f>
        <v>755780.21</v>
      </c>
      <c r="G16" s="37"/>
    </row>
    <row r="17" spans="1:9" ht="33" customHeight="1">
      <c r="A17" s="32"/>
      <c r="B17" s="33" t="s">
        <v>14</v>
      </c>
      <c r="C17" s="34"/>
      <c r="D17" s="35"/>
      <c r="E17" s="35"/>
      <c r="F17" s="36">
        <f>상세내역!H31</f>
        <v>3017732.4</v>
      </c>
      <c r="G17" s="38"/>
      <c r="H17" s="4"/>
      <c r="I17" s="4"/>
    </row>
    <row r="18" spans="1:9" ht="33" customHeight="1">
      <c r="A18" s="32"/>
      <c r="B18" s="33" t="s">
        <v>15</v>
      </c>
      <c r="C18" s="34"/>
      <c r="D18" s="35"/>
      <c r="E18" s="35"/>
      <c r="F18" s="36">
        <f>'내역서(표준단가)'!S16+'내역서(표준단가)'!U16</f>
        <v>0</v>
      </c>
      <c r="G18" s="38"/>
      <c r="H18" s="4"/>
      <c r="I18" s="4"/>
    </row>
    <row r="19" spans="1:9" ht="33" customHeight="1">
      <c r="A19" s="32"/>
      <c r="B19" s="39" t="s">
        <v>16</v>
      </c>
      <c r="C19" s="39"/>
      <c r="D19" s="40"/>
      <c r="E19" s="40"/>
      <c r="F19" s="41">
        <f>F16+F17+F18</f>
        <v>3773512.61</v>
      </c>
      <c r="G19" s="38"/>
      <c r="H19" s="4"/>
      <c r="I19" s="4"/>
    </row>
    <row r="20" spans="1:9" ht="33" customHeight="1">
      <c r="A20" s="32"/>
      <c r="B20" s="42" t="s">
        <v>17</v>
      </c>
      <c r="C20" s="43"/>
      <c r="D20" s="35"/>
      <c r="E20" s="35"/>
      <c r="F20" s="44"/>
      <c r="G20" s="38"/>
      <c r="H20" s="4"/>
      <c r="I20" s="4"/>
    </row>
    <row r="21" spans="1:9" ht="33" customHeight="1">
      <c r="A21" s="32"/>
      <c r="B21" s="45" t="s">
        <v>18</v>
      </c>
      <c r="C21" s="43" t="s">
        <v>19</v>
      </c>
      <c r="D21" s="33">
        <v>1</v>
      </c>
      <c r="E21" s="33" t="s">
        <v>20</v>
      </c>
      <c r="F21" s="46">
        <f>F17*4.5%</f>
        <v>135797.95799999998</v>
      </c>
      <c r="G21" s="38" t="s">
        <v>21</v>
      </c>
      <c r="H21" s="4"/>
      <c r="I21" s="4"/>
    </row>
    <row r="22" spans="1:9" ht="33" customHeight="1">
      <c r="A22" s="32"/>
      <c r="B22" s="47" t="s">
        <v>22</v>
      </c>
      <c r="C22" s="48" t="s">
        <v>44</v>
      </c>
      <c r="D22" s="49">
        <v>1</v>
      </c>
      <c r="E22" s="49" t="s">
        <v>20</v>
      </c>
      <c r="F22" s="50">
        <f>F17*3.545%</f>
        <v>106978.61358</v>
      </c>
      <c r="G22" s="51" t="s">
        <v>23</v>
      </c>
      <c r="H22" s="4"/>
      <c r="I22" s="4"/>
    </row>
    <row r="23" spans="1:9" ht="33" customHeight="1">
      <c r="A23" s="32"/>
      <c r="B23" s="45" t="s">
        <v>24</v>
      </c>
      <c r="C23" s="43" t="s">
        <v>45</v>
      </c>
      <c r="D23" s="33">
        <v>1</v>
      </c>
      <c r="E23" s="33" t="s">
        <v>20</v>
      </c>
      <c r="F23" s="46">
        <f>F22*12.95%</f>
        <v>13853.730458610002</v>
      </c>
      <c r="G23" s="38" t="s">
        <v>23</v>
      </c>
      <c r="H23" s="4"/>
      <c r="I23" s="4"/>
    </row>
    <row r="24" spans="1:9" ht="33" customHeight="1">
      <c r="A24" s="32"/>
      <c r="B24" s="45" t="s">
        <v>25</v>
      </c>
      <c r="C24" s="43" t="s">
        <v>41</v>
      </c>
      <c r="D24" s="33">
        <v>1</v>
      </c>
      <c r="E24" s="33" t="s">
        <v>20</v>
      </c>
      <c r="F24" s="46">
        <f>F17*1.01%</f>
        <v>30479.097239999999</v>
      </c>
      <c r="G24" s="38" t="s">
        <v>23</v>
      </c>
      <c r="H24" s="4"/>
      <c r="I24" s="4"/>
    </row>
    <row r="25" spans="1:9" ht="33" customHeight="1">
      <c r="A25" s="32"/>
      <c r="B25" s="45" t="s">
        <v>26</v>
      </c>
      <c r="C25" s="43" t="s">
        <v>46</v>
      </c>
      <c r="D25" s="33">
        <v>1</v>
      </c>
      <c r="E25" s="33" t="s">
        <v>20</v>
      </c>
      <c r="F25" s="46">
        <f>F17*3.56%</f>
        <v>107431.27343999999</v>
      </c>
      <c r="G25" s="38" t="s">
        <v>23</v>
      </c>
      <c r="H25" s="4"/>
      <c r="I25" s="4"/>
    </row>
    <row r="26" spans="1:9" ht="33" customHeight="1">
      <c r="A26" s="32"/>
      <c r="B26" s="45" t="s">
        <v>27</v>
      </c>
      <c r="C26" s="202" t="s">
        <v>130</v>
      </c>
      <c r="D26" s="203">
        <v>1</v>
      </c>
      <c r="E26" s="203" t="s">
        <v>20</v>
      </c>
      <c r="F26" s="204">
        <f>(F16+F17)*3.11%</f>
        <v>117356.24217099999</v>
      </c>
      <c r="G26" s="38" t="s">
        <v>21</v>
      </c>
      <c r="H26" s="4"/>
      <c r="I26" s="4"/>
    </row>
    <row r="27" spans="1:9" ht="33" customHeight="1">
      <c r="A27" s="32"/>
      <c r="B27" s="45" t="s">
        <v>31</v>
      </c>
      <c r="C27" s="52" t="s">
        <v>32</v>
      </c>
      <c r="D27" s="33">
        <v>1</v>
      </c>
      <c r="E27" s="33" t="s">
        <v>20</v>
      </c>
      <c r="F27" s="46">
        <f>SUM(F17+F21+F22+F23+F24+F25+F26)*5%</f>
        <v>176481.46574448055</v>
      </c>
      <c r="G27" s="38"/>
      <c r="H27" s="4"/>
      <c r="I27" s="4"/>
    </row>
    <row r="28" spans="1:9" ht="33" customHeight="1">
      <c r="A28" s="32"/>
      <c r="B28" s="39" t="s">
        <v>28</v>
      </c>
      <c r="C28" s="53"/>
      <c r="D28" s="54"/>
      <c r="E28" s="40"/>
      <c r="F28" s="55">
        <f>F21+F22+F23+F24+F25+F26+F27</f>
        <v>688378.3806340904</v>
      </c>
      <c r="G28" s="38"/>
      <c r="H28" s="4"/>
      <c r="I28" s="4"/>
    </row>
    <row r="29" spans="1:9" ht="33" customHeight="1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>
      <c r="A30" s="32"/>
      <c r="B30" s="59"/>
      <c r="C30" s="56"/>
      <c r="D30" s="57"/>
      <c r="E30" s="35"/>
      <c r="F30" s="60">
        <f>F19+F28+F29</f>
        <v>4461890.9906340903</v>
      </c>
      <c r="G30" s="38"/>
      <c r="H30" s="4"/>
      <c r="I30" s="4"/>
    </row>
    <row r="31" spans="1:9" ht="33" customHeight="1">
      <c r="A31" s="32"/>
      <c r="B31" s="39" t="s">
        <v>29</v>
      </c>
      <c r="C31" s="39"/>
      <c r="D31" s="40"/>
      <c r="E31" s="40"/>
      <c r="F31" s="61">
        <f>ROUNDDOWN(F30,-3)</f>
        <v>4461000</v>
      </c>
      <c r="G31" s="38"/>
      <c r="H31" s="4"/>
      <c r="I31" s="4"/>
    </row>
    <row r="32" spans="1:9" ht="33" customHeight="1" thickBot="1">
      <c r="A32" s="62"/>
      <c r="B32" s="63" t="s">
        <v>30</v>
      </c>
      <c r="C32" s="64"/>
      <c r="D32" s="64"/>
      <c r="E32" s="64"/>
      <c r="F32" s="65"/>
      <c r="G32" s="66"/>
      <c r="H32" s="4"/>
      <c r="I32" s="4"/>
    </row>
    <row r="33" spans="2:2" s="4" customFormat="1" ht="15.75">
      <c r="B33" s="67"/>
    </row>
    <row r="34" spans="2:2" s="4" customFormat="1" ht="15.75">
      <c r="B34" s="67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6"/>
  <sheetViews>
    <sheetView showGridLines="0" zoomScale="80" zoomScaleNormal="80" workbookViewId="0">
      <selection activeCell="S35" sqref="S35"/>
    </sheetView>
  </sheetViews>
  <sheetFormatPr defaultColWidth="9" defaultRowHeight="12.75"/>
  <cols>
    <col min="1" max="1" width="18" style="85" customWidth="1"/>
    <col min="2" max="5" width="4.625" style="85" hidden="1" customWidth="1"/>
    <col min="6" max="6" width="9" style="69" customWidth="1"/>
    <col min="7" max="9" width="12.625" style="69" customWidth="1"/>
    <col min="10" max="10" width="28.625" style="69" customWidth="1"/>
    <col min="11" max="11" width="26.375" style="69" customWidth="1"/>
    <col min="12" max="12" width="7.375" style="69" customWidth="1"/>
    <col min="13" max="13" width="8.25" style="69" customWidth="1"/>
    <col min="14" max="14" width="10.625" style="69" bestFit="1" customWidth="1"/>
    <col min="15" max="15" width="12.75" style="69" customWidth="1"/>
    <col min="16" max="16" width="12" style="69" bestFit="1" customWidth="1"/>
    <col min="17" max="17" width="13.875" style="69" customWidth="1"/>
    <col min="18" max="18" width="9" style="69" customWidth="1"/>
    <col min="19" max="19" width="8.5" style="69" customWidth="1"/>
    <col min="20" max="20" width="10.5" style="69" customWidth="1"/>
    <col min="21" max="21" width="8.5" style="69" customWidth="1"/>
    <col min="22" max="22" width="15.625" style="69" bestFit="1" customWidth="1"/>
    <col min="23" max="23" width="10.625" style="70" bestFit="1" customWidth="1"/>
    <col min="24" max="24" width="8.5" style="69" bestFit="1" customWidth="1"/>
    <col min="25" max="16384" width="9" style="69"/>
  </cols>
  <sheetData>
    <row r="1" spans="1:24" ht="19.899999999999999" customHeight="1">
      <c r="A1" s="211"/>
      <c r="B1" s="211"/>
      <c r="C1" s="211"/>
      <c r="D1" s="211"/>
      <c r="E1" s="211"/>
      <c r="F1" s="211"/>
      <c r="G1" s="211"/>
      <c r="H1" s="211"/>
      <c r="I1" s="211"/>
      <c r="N1" s="70"/>
      <c r="O1" s="68" t="s">
        <v>89</v>
      </c>
      <c r="Q1" s="68" t="s">
        <v>89</v>
      </c>
      <c r="S1" s="68" t="s">
        <v>89</v>
      </c>
      <c r="U1" s="68" t="s">
        <v>89</v>
      </c>
    </row>
    <row r="2" spans="1:24" ht="19.899999999999999" customHeight="1" thickBot="1">
      <c r="A2" s="211"/>
      <c r="B2" s="211"/>
      <c r="C2" s="211"/>
      <c r="D2" s="211"/>
      <c r="E2" s="211"/>
      <c r="F2" s="211"/>
      <c r="G2" s="211"/>
      <c r="H2" s="211"/>
      <c r="I2" s="211"/>
      <c r="N2" s="71"/>
      <c r="O2" s="72">
        <v>0.83499999999999996</v>
      </c>
      <c r="Q2" s="72">
        <v>0.83499999999999996</v>
      </c>
      <c r="S2" s="72">
        <v>0.83499999999999996</v>
      </c>
      <c r="U2" s="72">
        <v>0.83499999999999996</v>
      </c>
    </row>
    <row r="3" spans="1:24" ht="19.899999999999999" customHeight="1">
      <c r="A3" s="73"/>
      <c r="B3" s="74"/>
      <c r="C3" s="74"/>
      <c r="D3" s="74"/>
      <c r="E3" s="74"/>
      <c r="F3" s="74" t="s">
        <v>90</v>
      </c>
      <c r="G3" s="74"/>
      <c r="H3" s="74"/>
      <c r="I3" s="74"/>
      <c r="J3" s="220" t="s">
        <v>91</v>
      </c>
      <c r="K3" s="220"/>
      <c r="L3" s="220" t="s">
        <v>42</v>
      </c>
      <c r="M3" s="220" t="s">
        <v>0</v>
      </c>
      <c r="N3" s="216" t="s">
        <v>92</v>
      </c>
      <c r="O3" s="216"/>
      <c r="P3" s="216" t="s">
        <v>93</v>
      </c>
      <c r="Q3" s="216"/>
      <c r="R3" s="217" t="s">
        <v>94</v>
      </c>
      <c r="S3" s="217"/>
      <c r="T3" s="217" t="s">
        <v>95</v>
      </c>
      <c r="U3" s="217"/>
      <c r="V3" s="218" t="s">
        <v>96</v>
      </c>
      <c r="W3" s="214" t="s">
        <v>97</v>
      </c>
      <c r="X3" s="212" t="s">
        <v>40</v>
      </c>
    </row>
    <row r="4" spans="1:24" ht="19.899999999999999" customHeight="1">
      <c r="A4" s="75" t="s">
        <v>98</v>
      </c>
      <c r="B4" s="113"/>
      <c r="C4" s="113"/>
      <c r="D4" s="113"/>
      <c r="E4" s="113"/>
      <c r="F4" s="76" t="s">
        <v>99</v>
      </c>
      <c r="G4" s="76" t="s">
        <v>100</v>
      </c>
      <c r="H4" s="76" t="s">
        <v>101</v>
      </c>
      <c r="I4" s="76" t="s">
        <v>102</v>
      </c>
      <c r="J4" s="114" t="s">
        <v>103</v>
      </c>
      <c r="K4" s="114" t="s">
        <v>104</v>
      </c>
      <c r="L4" s="221"/>
      <c r="M4" s="221"/>
      <c r="N4" s="77" t="s">
        <v>105</v>
      </c>
      <c r="O4" s="78" t="s">
        <v>106</v>
      </c>
      <c r="P4" s="77" t="s">
        <v>107</v>
      </c>
      <c r="Q4" s="78" t="s">
        <v>106</v>
      </c>
      <c r="R4" s="78" t="s">
        <v>108</v>
      </c>
      <c r="S4" s="78" t="s">
        <v>106</v>
      </c>
      <c r="T4" s="78" t="s">
        <v>108</v>
      </c>
      <c r="U4" s="78" t="s">
        <v>106</v>
      </c>
      <c r="V4" s="219"/>
      <c r="W4" s="215"/>
      <c r="X4" s="213"/>
    </row>
    <row r="5" spans="1:24" s="84" customFormat="1" ht="45" customHeight="1">
      <c r="A5" s="79" t="str">
        <f t="shared" ref="A5:A13" si="0">F5&amp;G5&amp;H5&amp;I5</f>
        <v>M020853710050101</v>
      </c>
      <c r="B5" s="115"/>
      <c r="C5" s="115"/>
      <c r="D5" s="115"/>
      <c r="E5" s="115"/>
      <c r="F5" s="111"/>
      <c r="G5" s="80"/>
      <c r="H5" s="155" t="s">
        <v>133</v>
      </c>
      <c r="I5" s="111"/>
      <c r="J5" s="169" t="s">
        <v>134</v>
      </c>
      <c r="K5" s="170" t="s">
        <v>135</v>
      </c>
      <c r="L5" s="129" t="s">
        <v>136</v>
      </c>
      <c r="M5" s="124">
        <v>186</v>
      </c>
      <c r="N5" s="121">
        <v>1266</v>
      </c>
      <c r="O5" s="81">
        <f t="shared" ref="O5" si="1">SUM(N5:N5)*M5*$O$2</f>
        <v>196622.46</v>
      </c>
      <c r="P5" s="126"/>
      <c r="Q5" s="81">
        <f t="shared" ref="Q5" si="2">(P5*M5)*$Q$2</f>
        <v>0</v>
      </c>
      <c r="R5" s="82"/>
      <c r="S5" s="81">
        <f t="shared" ref="S5" si="3">R5*M5*$S$2</f>
        <v>0</v>
      </c>
      <c r="T5" s="82"/>
      <c r="U5" s="81">
        <f t="shared" ref="U5" si="4">T5*M5*$U$2</f>
        <v>0</v>
      </c>
      <c r="V5" s="156">
        <f t="shared" ref="V5" si="5">SUM(O5+Q5)+S5+U5</f>
        <v>196622.46</v>
      </c>
      <c r="W5" s="132"/>
      <c r="X5" s="83"/>
    </row>
    <row r="6" spans="1:24" s="84" customFormat="1" ht="60.75" customHeight="1">
      <c r="A6" s="79" t="str">
        <f t="shared" si="0"/>
        <v>E00000803071260301</v>
      </c>
      <c r="B6" s="115"/>
      <c r="C6" s="115"/>
      <c r="D6" s="115"/>
      <c r="E6" s="115"/>
      <c r="F6" s="111"/>
      <c r="G6" s="131" t="s">
        <v>109</v>
      </c>
      <c r="H6" s="80"/>
      <c r="I6" s="111"/>
      <c r="J6" s="120" t="s">
        <v>111</v>
      </c>
      <c r="K6" s="154" t="s">
        <v>131</v>
      </c>
      <c r="L6" s="120" t="s">
        <v>110</v>
      </c>
      <c r="M6" s="124">
        <v>4.0430000000000001</v>
      </c>
      <c r="N6" s="121"/>
      <c r="O6" s="81">
        <f t="shared" ref="O6" si="6">SUM(N6:N6)*M6*$O$2</f>
        <v>0</v>
      </c>
      <c r="P6" s="125">
        <v>487076</v>
      </c>
      <c r="Q6" s="81">
        <f t="shared" ref="Q6" si="7">(P6*M6)*$Q$2</f>
        <v>1644322.30378</v>
      </c>
      <c r="R6" s="82"/>
      <c r="S6" s="81">
        <f t="shared" ref="S6" si="8">R6*M6*$S$2</f>
        <v>0</v>
      </c>
      <c r="T6" s="82"/>
      <c r="U6" s="81">
        <f t="shared" ref="U6" si="9">T6*M6*$U$2</f>
        <v>0</v>
      </c>
      <c r="V6" s="82">
        <f t="shared" ref="V6" si="10">SUM(O6+Q6)+S6+U6</f>
        <v>1644322.30378</v>
      </c>
      <c r="W6" s="132"/>
      <c r="X6" s="83"/>
    </row>
    <row r="7" spans="1:24" s="84" customFormat="1" ht="19.899999999999999" customHeight="1">
      <c r="A7" s="79" t="str">
        <f t="shared" si="0"/>
        <v>M020809012520101</v>
      </c>
      <c r="B7" s="115"/>
      <c r="C7" s="115"/>
      <c r="D7" s="115"/>
      <c r="E7" s="115"/>
      <c r="F7" s="111"/>
      <c r="G7" s="80"/>
      <c r="H7" s="155" t="s">
        <v>137</v>
      </c>
      <c r="I7" s="111"/>
      <c r="J7" s="171" t="s">
        <v>138</v>
      </c>
      <c r="K7" s="171" t="s">
        <v>139</v>
      </c>
      <c r="L7" s="129" t="s">
        <v>136</v>
      </c>
      <c r="M7" s="124">
        <v>50</v>
      </c>
      <c r="N7" s="157">
        <v>13000</v>
      </c>
      <c r="O7" s="81">
        <f t="shared" ref="O7:O15" si="11">SUM(N7:N7)*M7*$O$2</f>
        <v>542750</v>
      </c>
      <c r="P7" s="126"/>
      <c r="Q7" s="81">
        <f t="shared" ref="Q7:Q11" si="12">(P7*M7)*$Q$2</f>
        <v>0</v>
      </c>
      <c r="R7" s="82"/>
      <c r="S7" s="81">
        <f t="shared" ref="S7:S11" si="13">R7*M7*$S$2</f>
        <v>0</v>
      </c>
      <c r="T7" s="82"/>
      <c r="U7" s="81">
        <f t="shared" ref="U7:U11" si="14">T7*M7*$U$2</f>
        <v>0</v>
      </c>
      <c r="V7" s="156">
        <f t="shared" ref="V7:V11" si="15">SUM(O7+Q7)+S7+U7</f>
        <v>542750</v>
      </c>
      <c r="W7" s="132"/>
      <c r="X7" s="83"/>
    </row>
    <row r="8" spans="1:24" s="84" customFormat="1" ht="45" customHeight="1">
      <c r="A8" s="79" t="str">
        <f t="shared" si="0"/>
        <v>E00000803071260401</v>
      </c>
      <c r="B8" s="115"/>
      <c r="C8" s="115"/>
      <c r="D8" s="115"/>
      <c r="E8" s="115"/>
      <c r="F8" s="111"/>
      <c r="G8" s="131" t="s">
        <v>112</v>
      </c>
      <c r="H8" s="80"/>
      <c r="I8" s="111"/>
      <c r="J8" s="120" t="s">
        <v>113</v>
      </c>
      <c r="K8" s="154" t="s">
        <v>132</v>
      </c>
      <c r="L8" s="120" t="s">
        <v>110</v>
      </c>
      <c r="M8" s="124">
        <v>0.81950000000000001</v>
      </c>
      <c r="N8" s="121"/>
      <c r="O8" s="81">
        <f t="shared" si="11"/>
        <v>0</v>
      </c>
      <c r="P8" s="125">
        <v>487076</v>
      </c>
      <c r="Q8" s="149">
        <f t="shared" si="12"/>
        <v>333297.58296999999</v>
      </c>
      <c r="R8" s="82"/>
      <c r="S8" s="81">
        <f t="shared" si="13"/>
        <v>0</v>
      </c>
      <c r="T8" s="82"/>
      <c r="U8" s="81">
        <f t="shared" si="14"/>
        <v>0</v>
      </c>
      <c r="V8" s="82">
        <f t="shared" si="15"/>
        <v>333297.58296999999</v>
      </c>
      <c r="W8" s="132"/>
      <c r="X8" s="83"/>
    </row>
    <row r="9" spans="1:24" s="84" customFormat="1" ht="19.899999999999999" customHeight="1">
      <c r="A9" s="79" t="str">
        <f t="shared" si="0"/>
        <v>M020412614110102</v>
      </c>
      <c r="B9" s="115"/>
      <c r="C9" s="115"/>
      <c r="D9" s="115"/>
      <c r="E9" s="115"/>
      <c r="F9" s="111"/>
      <c r="G9" s="131"/>
      <c r="H9" s="147" t="s">
        <v>127</v>
      </c>
      <c r="I9" s="111"/>
      <c r="J9" s="174" t="s">
        <v>126</v>
      </c>
      <c r="K9" s="174" t="s">
        <v>124</v>
      </c>
      <c r="L9" s="151" t="s">
        <v>123</v>
      </c>
      <c r="M9" s="124">
        <v>0.3</v>
      </c>
      <c r="N9" s="148">
        <v>65500</v>
      </c>
      <c r="O9" s="81">
        <f t="shared" si="11"/>
        <v>16407.75</v>
      </c>
      <c r="P9" s="125"/>
      <c r="Q9" s="81"/>
      <c r="R9" s="82"/>
      <c r="S9" s="81"/>
      <c r="T9" s="82"/>
      <c r="U9" s="81"/>
      <c r="V9" s="82">
        <f t="shared" si="15"/>
        <v>16407.75</v>
      </c>
      <c r="W9" s="132"/>
      <c r="X9" s="83"/>
    </row>
    <row r="10" spans="1:24" s="84" customFormat="1" ht="19.899999999999999" customHeight="1">
      <c r="A10" s="79" t="str">
        <f t="shared" si="0"/>
        <v>E00000803061120402</v>
      </c>
      <c r="B10" s="115"/>
      <c r="C10" s="115"/>
      <c r="D10" s="115"/>
      <c r="E10" s="115"/>
      <c r="F10" s="111"/>
      <c r="G10" s="131" t="s">
        <v>114</v>
      </c>
      <c r="H10" s="80"/>
      <c r="I10" s="111"/>
      <c r="J10" s="130" t="s">
        <v>115</v>
      </c>
      <c r="K10" s="123" t="s">
        <v>116</v>
      </c>
      <c r="L10" s="152" t="s">
        <v>121</v>
      </c>
      <c r="M10" s="124">
        <v>28</v>
      </c>
      <c r="N10" s="122"/>
      <c r="O10" s="81">
        <f t="shared" si="11"/>
        <v>0</v>
      </c>
      <c r="P10" s="125">
        <v>10432</v>
      </c>
      <c r="Q10" s="81">
        <f t="shared" si="12"/>
        <v>243900.16</v>
      </c>
      <c r="R10" s="82"/>
      <c r="S10" s="81">
        <f t="shared" si="13"/>
        <v>0</v>
      </c>
      <c r="T10" s="82"/>
      <c r="U10" s="81">
        <f t="shared" si="14"/>
        <v>0</v>
      </c>
      <c r="V10" s="82">
        <f t="shared" si="15"/>
        <v>243900.16</v>
      </c>
      <c r="W10" s="132"/>
      <c r="X10" s="83"/>
    </row>
    <row r="11" spans="1:24" s="84" customFormat="1" ht="19.899999999999999" customHeight="1">
      <c r="A11" s="79" t="str">
        <f t="shared" si="0"/>
        <v>E00000803061300201</v>
      </c>
      <c r="B11" s="115"/>
      <c r="C11" s="115"/>
      <c r="D11" s="115"/>
      <c r="E11" s="115"/>
      <c r="F11" s="111"/>
      <c r="G11" s="131" t="s">
        <v>118</v>
      </c>
      <c r="H11" s="80"/>
      <c r="I11" s="111"/>
      <c r="J11" s="130" t="s">
        <v>119</v>
      </c>
      <c r="K11" s="123" t="s">
        <v>120</v>
      </c>
      <c r="L11" s="150" t="s">
        <v>117</v>
      </c>
      <c r="M11" s="124">
        <v>28</v>
      </c>
      <c r="N11" s="122"/>
      <c r="O11" s="81">
        <f t="shared" si="11"/>
        <v>0</v>
      </c>
      <c r="P11" s="125">
        <v>6179</v>
      </c>
      <c r="Q11" s="81">
        <f t="shared" si="12"/>
        <v>144465.01999999999</v>
      </c>
      <c r="R11" s="82"/>
      <c r="S11" s="81">
        <f t="shared" si="13"/>
        <v>0</v>
      </c>
      <c r="T11" s="82"/>
      <c r="U11" s="81">
        <f t="shared" si="14"/>
        <v>0</v>
      </c>
      <c r="V11" s="82">
        <f t="shared" si="15"/>
        <v>144465.01999999999</v>
      </c>
      <c r="W11" s="132"/>
      <c r="X11" s="83"/>
    </row>
    <row r="12" spans="1:24" s="84" customFormat="1" ht="19.899999999999999" customHeight="1">
      <c r="A12" s="79" t="str">
        <f t="shared" si="0"/>
        <v>E00000801011510601</v>
      </c>
      <c r="B12" s="178"/>
      <c r="C12" s="178"/>
      <c r="D12" s="178"/>
      <c r="E12" s="178"/>
      <c r="F12" s="179"/>
      <c r="G12" s="180" t="s">
        <v>140</v>
      </c>
      <c r="H12" s="181"/>
      <c r="I12" s="179"/>
      <c r="J12" s="182" t="s">
        <v>141</v>
      </c>
      <c r="K12" s="183" t="s">
        <v>142</v>
      </c>
      <c r="L12" s="184" t="s">
        <v>143</v>
      </c>
      <c r="M12" s="185">
        <v>96</v>
      </c>
      <c r="N12" s="186"/>
      <c r="O12" s="187">
        <f t="shared" si="11"/>
        <v>0</v>
      </c>
      <c r="P12" s="159">
        <v>3310</v>
      </c>
      <c r="Q12" s="187">
        <f t="shared" ref="Q12:Q15" si="16">(P12*M12)*$Q$2</f>
        <v>265329.59999999998</v>
      </c>
      <c r="R12" s="188"/>
      <c r="S12" s="187">
        <f t="shared" ref="S12:S15" si="17">R12*M12*$S$2</f>
        <v>0</v>
      </c>
      <c r="T12" s="188"/>
      <c r="U12" s="187">
        <f t="shared" ref="U12:U15" si="18">T12*M12*$U$2</f>
        <v>0</v>
      </c>
      <c r="V12" s="188">
        <f t="shared" ref="V12:V15" si="19">SUM(O12+Q12)+S12+U12</f>
        <v>265329.59999999998</v>
      </c>
      <c r="W12" s="189"/>
      <c r="X12" s="190"/>
    </row>
    <row r="13" spans="1:24" s="84" customFormat="1" ht="71.25" customHeight="1">
      <c r="A13" s="79" t="str">
        <f t="shared" si="0"/>
        <v>L003</v>
      </c>
      <c r="B13" s="115"/>
      <c r="C13" s="115"/>
      <c r="D13" s="115"/>
      <c r="E13" s="115"/>
      <c r="F13" s="111"/>
      <c r="G13" s="131"/>
      <c r="H13" s="80"/>
      <c r="I13" s="191" t="s">
        <v>156</v>
      </c>
      <c r="J13" s="175" t="s">
        <v>153</v>
      </c>
      <c r="K13" s="120" t="s">
        <v>154</v>
      </c>
      <c r="L13" s="176" t="s">
        <v>155</v>
      </c>
      <c r="M13" s="124">
        <v>1</v>
      </c>
      <c r="N13" s="177"/>
      <c r="O13" s="81">
        <f t="shared" si="11"/>
        <v>0</v>
      </c>
      <c r="P13" s="193">
        <v>219321</v>
      </c>
      <c r="Q13" s="81">
        <f>M13*P13</f>
        <v>219321</v>
      </c>
      <c r="R13" s="82"/>
      <c r="S13" s="81">
        <f t="shared" si="17"/>
        <v>0</v>
      </c>
      <c r="T13" s="82"/>
      <c r="U13" s="81">
        <f t="shared" si="18"/>
        <v>0</v>
      </c>
      <c r="V13" s="82">
        <f t="shared" si="19"/>
        <v>219321</v>
      </c>
      <c r="W13" s="132"/>
      <c r="X13" s="83"/>
    </row>
    <row r="14" spans="1:24" s="84" customFormat="1" ht="71.25" customHeight="1">
      <c r="A14" s="79" t="str">
        <f t="shared" ref="A14" si="20">F14&amp;G14&amp;H14&amp;I14</f>
        <v>L002</v>
      </c>
      <c r="B14" s="115"/>
      <c r="C14" s="115"/>
      <c r="D14" s="115"/>
      <c r="E14" s="115"/>
      <c r="F14" s="111"/>
      <c r="G14" s="131"/>
      <c r="H14" s="80"/>
      <c r="I14" s="191" t="s">
        <v>160</v>
      </c>
      <c r="J14" s="175" t="s">
        <v>153</v>
      </c>
      <c r="K14" s="120" t="s">
        <v>161</v>
      </c>
      <c r="L14" s="176" t="s">
        <v>155</v>
      </c>
      <c r="M14" s="124">
        <v>1</v>
      </c>
      <c r="N14" s="177"/>
      <c r="O14" s="81">
        <f t="shared" ref="O14" si="21">SUM(N14:N14)*M14*$O$2</f>
        <v>0</v>
      </c>
      <c r="P14" s="193">
        <v>167081</v>
      </c>
      <c r="Q14" s="81">
        <f>M14*P14</f>
        <v>167081</v>
      </c>
      <c r="R14" s="82"/>
      <c r="S14" s="81">
        <f t="shared" ref="S14" si="22">R14*M14*$S$2</f>
        <v>0</v>
      </c>
      <c r="T14" s="82"/>
      <c r="U14" s="81">
        <f t="shared" ref="U14" si="23">T14*M14*$U$2</f>
        <v>0</v>
      </c>
      <c r="V14" s="82">
        <f t="shared" ref="V14" si="24">SUM(O14+Q14)+S14+U14</f>
        <v>167081</v>
      </c>
      <c r="W14" s="132"/>
      <c r="X14" s="83"/>
    </row>
    <row r="15" spans="1:24" s="84" customFormat="1" ht="19.899999999999999" customHeight="1">
      <c r="A15" s="79"/>
      <c r="B15" s="115"/>
      <c r="C15" s="115"/>
      <c r="D15" s="115"/>
      <c r="E15" s="115"/>
      <c r="F15" s="111"/>
      <c r="G15" s="168"/>
      <c r="H15" s="80"/>
      <c r="I15" s="111"/>
      <c r="J15" s="172"/>
      <c r="K15" s="173"/>
      <c r="L15" s="158"/>
      <c r="M15" s="124"/>
      <c r="N15" s="121"/>
      <c r="O15" s="81">
        <f t="shared" si="11"/>
        <v>0</v>
      </c>
      <c r="P15" s="192"/>
      <c r="Q15" s="81">
        <f t="shared" si="16"/>
        <v>0</v>
      </c>
      <c r="R15" s="82"/>
      <c r="S15" s="81">
        <f t="shared" si="17"/>
        <v>0</v>
      </c>
      <c r="T15" s="82"/>
      <c r="U15" s="81">
        <f t="shared" si="18"/>
        <v>0</v>
      </c>
      <c r="V15" s="82">
        <f t="shared" si="19"/>
        <v>0</v>
      </c>
      <c r="W15" s="132"/>
      <c r="X15" s="83"/>
    </row>
    <row r="16" spans="1:24" s="119" customFormat="1" ht="19.899999999999999" customHeight="1">
      <c r="A16" s="127"/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33">
        <f>SUM(O5:O15)</f>
        <v>755780.21</v>
      </c>
      <c r="P16" s="134"/>
      <c r="Q16" s="133">
        <f>SUM(Q5:Q15)</f>
        <v>3017716.6667500003</v>
      </c>
      <c r="R16" s="134"/>
      <c r="S16" s="133">
        <f>SUM(S5:S15)</f>
        <v>0</v>
      </c>
      <c r="T16" s="134"/>
      <c r="U16" s="133">
        <f>SUM(U5:U15)</f>
        <v>0</v>
      </c>
      <c r="V16" s="133">
        <f>SUM(V5:V15)</f>
        <v>3773496.8767499998</v>
      </c>
      <c r="W16" s="128"/>
      <c r="X16" s="12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1"/>
  <sheetViews>
    <sheetView zoomScaleNormal="100" workbookViewId="0">
      <selection activeCell="P20" sqref="P20"/>
    </sheetView>
  </sheetViews>
  <sheetFormatPr defaultColWidth="9" defaultRowHeight="14.25"/>
  <cols>
    <col min="1" max="1" width="22.625" style="110" customWidth="1"/>
    <col min="2" max="2" width="27.625" style="110" customWidth="1"/>
    <col min="3" max="3" width="5.75" style="110" customWidth="1"/>
    <col min="4" max="4" width="5.25" style="110" customWidth="1"/>
    <col min="5" max="8" width="20.625" style="110" customWidth="1"/>
    <col min="9" max="12" width="20.625" style="110" hidden="1" customWidth="1"/>
    <col min="13" max="14" width="20.625" style="110" customWidth="1"/>
    <col min="15" max="15" width="32.75" style="110" customWidth="1"/>
    <col min="16" max="16384" width="9" style="86"/>
  </cols>
  <sheetData>
    <row r="1" spans="1:15" ht="27" customHeight="1">
      <c r="A1" s="227" t="s">
        <v>54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</row>
    <row r="2" spans="1:15" ht="15" customHeight="1">
      <c r="A2" s="228" t="s">
        <v>55</v>
      </c>
      <c r="B2" s="229" t="s">
        <v>56</v>
      </c>
      <c r="C2" s="230" t="s">
        <v>42</v>
      </c>
      <c r="D2" s="230" t="s">
        <v>57</v>
      </c>
      <c r="E2" s="232" t="s">
        <v>58</v>
      </c>
      <c r="F2" s="229"/>
      <c r="G2" s="229" t="s">
        <v>59</v>
      </c>
      <c r="H2" s="229"/>
      <c r="I2" s="233" t="s">
        <v>60</v>
      </c>
      <c r="J2" s="234"/>
      <c r="K2" s="233" t="s">
        <v>61</v>
      </c>
      <c r="L2" s="234"/>
      <c r="M2" s="232" t="s">
        <v>62</v>
      </c>
      <c r="N2" s="229"/>
      <c r="O2" s="235" t="s">
        <v>63</v>
      </c>
    </row>
    <row r="3" spans="1:15" ht="15" customHeight="1">
      <c r="A3" s="228"/>
      <c r="B3" s="229"/>
      <c r="C3" s="231"/>
      <c r="D3" s="231"/>
      <c r="E3" s="118" t="s">
        <v>64</v>
      </c>
      <c r="F3" s="118" t="s">
        <v>65</v>
      </c>
      <c r="G3" s="87" t="s">
        <v>64</v>
      </c>
      <c r="H3" s="118" t="s">
        <v>66</v>
      </c>
      <c r="I3" s="118"/>
      <c r="J3" s="118"/>
      <c r="K3" s="87" t="s">
        <v>64</v>
      </c>
      <c r="L3" s="118" t="s">
        <v>66</v>
      </c>
      <c r="M3" s="87" t="s">
        <v>64</v>
      </c>
      <c r="N3" s="118" t="s">
        <v>66</v>
      </c>
      <c r="O3" s="236"/>
    </row>
    <row r="4" spans="1:15" ht="15" customHeight="1">
      <c r="A4" s="242" t="s">
        <v>147</v>
      </c>
      <c r="B4" s="243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</row>
    <row r="5" spans="1:15" ht="15" customHeight="1">
      <c r="A5" s="238" t="s">
        <v>67</v>
      </c>
      <c r="B5" s="89" t="s">
        <v>68</v>
      </c>
      <c r="C5" s="90" t="s">
        <v>69</v>
      </c>
      <c r="D5" s="91">
        <v>85</v>
      </c>
      <c r="E5" s="161">
        <v>1057</v>
      </c>
      <c r="F5" s="135">
        <f t="shared" ref="F5:F11" si="0">D5*E5</f>
        <v>89845</v>
      </c>
      <c r="G5" s="135">
        <v>8839.9</v>
      </c>
      <c r="H5" s="135">
        <f t="shared" ref="H5:H11" si="1">D5*G5</f>
        <v>751391.5</v>
      </c>
      <c r="I5" s="135"/>
      <c r="J5" s="135"/>
      <c r="K5" s="135"/>
      <c r="L5" s="135"/>
      <c r="M5" s="135"/>
      <c r="N5" s="135">
        <f>F5+H5+J5+L5</f>
        <v>841236.5</v>
      </c>
      <c r="O5" s="222" t="s">
        <v>128</v>
      </c>
    </row>
    <row r="6" spans="1:15" ht="15" customHeight="1">
      <c r="A6" s="239"/>
      <c r="B6" s="197" t="s">
        <v>70</v>
      </c>
      <c r="C6" s="198" t="s">
        <v>69</v>
      </c>
      <c r="D6" s="199"/>
      <c r="E6" s="200"/>
      <c r="F6" s="201"/>
      <c r="G6" s="201"/>
      <c r="H6" s="201"/>
      <c r="I6" s="201"/>
      <c r="J6" s="201"/>
      <c r="K6" s="201"/>
      <c r="L6" s="201"/>
      <c r="M6" s="201"/>
      <c r="N6" s="201"/>
      <c r="O6" s="223"/>
    </row>
    <row r="7" spans="1:15" ht="15" customHeight="1">
      <c r="A7" s="239"/>
      <c r="B7" s="89" t="s">
        <v>71</v>
      </c>
      <c r="C7" s="90" t="s">
        <v>69</v>
      </c>
      <c r="D7" s="91">
        <v>38</v>
      </c>
      <c r="E7" s="161">
        <v>1057</v>
      </c>
      <c r="F7" s="135">
        <f t="shared" si="0"/>
        <v>40166</v>
      </c>
      <c r="G7" s="135">
        <v>8839.9</v>
      </c>
      <c r="H7" s="135">
        <f t="shared" si="1"/>
        <v>335916.2</v>
      </c>
      <c r="I7" s="135"/>
      <c r="J7" s="135"/>
      <c r="K7" s="135"/>
      <c r="L7" s="135"/>
      <c r="M7" s="135"/>
      <c r="N7" s="135">
        <f t="shared" ref="N7:N11" si="2">F7+H7+J7+L7</f>
        <v>376082.2</v>
      </c>
      <c r="O7" s="223"/>
    </row>
    <row r="8" spans="1:15" ht="15" customHeight="1">
      <c r="A8" s="239"/>
      <c r="B8" s="197" t="s">
        <v>72</v>
      </c>
      <c r="C8" s="198" t="s">
        <v>69</v>
      </c>
      <c r="D8" s="199"/>
      <c r="E8" s="200"/>
      <c r="F8" s="201"/>
      <c r="G8" s="201"/>
      <c r="H8" s="201"/>
      <c r="I8" s="201"/>
      <c r="J8" s="201"/>
      <c r="K8" s="201"/>
      <c r="L8" s="201"/>
      <c r="M8" s="201"/>
      <c r="N8" s="201"/>
      <c r="O8" s="223"/>
    </row>
    <row r="9" spans="1:15" ht="15" customHeight="1">
      <c r="A9" s="239"/>
      <c r="B9" s="89" t="s">
        <v>73</v>
      </c>
      <c r="C9" s="90" t="s">
        <v>69</v>
      </c>
      <c r="D9" s="91">
        <v>32</v>
      </c>
      <c r="E9" s="161">
        <v>1057</v>
      </c>
      <c r="F9" s="135">
        <f t="shared" si="0"/>
        <v>33824</v>
      </c>
      <c r="G9" s="135">
        <v>8839.9</v>
      </c>
      <c r="H9" s="135">
        <f t="shared" si="1"/>
        <v>282876.79999999999</v>
      </c>
      <c r="I9" s="135"/>
      <c r="J9" s="135"/>
      <c r="K9" s="135"/>
      <c r="L9" s="135"/>
      <c r="M9" s="135"/>
      <c r="N9" s="135">
        <f t="shared" si="2"/>
        <v>316700.79999999999</v>
      </c>
      <c r="O9" s="223"/>
    </row>
    <row r="10" spans="1:15" ht="15" customHeight="1">
      <c r="A10" s="239"/>
      <c r="B10" s="197" t="s">
        <v>74</v>
      </c>
      <c r="C10" s="198" t="s">
        <v>69</v>
      </c>
      <c r="D10" s="199"/>
      <c r="E10" s="200"/>
      <c r="F10" s="201"/>
      <c r="G10" s="201"/>
      <c r="H10" s="201"/>
      <c r="I10" s="201"/>
      <c r="J10" s="201"/>
      <c r="K10" s="201"/>
      <c r="L10" s="201"/>
      <c r="M10" s="201"/>
      <c r="N10" s="201"/>
      <c r="O10" s="223"/>
    </row>
    <row r="11" spans="1:15" ht="15" customHeight="1">
      <c r="A11" s="239"/>
      <c r="B11" s="89" t="s">
        <v>75</v>
      </c>
      <c r="C11" s="90" t="s">
        <v>69</v>
      </c>
      <c r="D11" s="91">
        <v>31</v>
      </c>
      <c r="E11" s="161">
        <v>1057</v>
      </c>
      <c r="F11" s="135">
        <f t="shared" si="0"/>
        <v>32767</v>
      </c>
      <c r="G11" s="135">
        <v>8839.9</v>
      </c>
      <c r="H11" s="135">
        <f t="shared" si="1"/>
        <v>274036.89999999997</v>
      </c>
      <c r="I11" s="135"/>
      <c r="J11" s="135"/>
      <c r="K11" s="135"/>
      <c r="L11" s="135"/>
      <c r="M11" s="135"/>
      <c r="N11" s="135">
        <f t="shared" si="2"/>
        <v>306803.89999999997</v>
      </c>
      <c r="O11" s="223"/>
    </row>
    <row r="12" spans="1:15" ht="15" customHeight="1">
      <c r="A12" s="239"/>
      <c r="B12" s="197" t="s">
        <v>76</v>
      </c>
      <c r="C12" s="198" t="s">
        <v>69</v>
      </c>
      <c r="D12" s="199"/>
      <c r="E12" s="200"/>
      <c r="F12" s="201"/>
      <c r="G12" s="201"/>
      <c r="H12" s="201"/>
      <c r="I12" s="201"/>
      <c r="J12" s="201"/>
      <c r="K12" s="201"/>
      <c r="L12" s="201"/>
      <c r="M12" s="201"/>
      <c r="N12" s="201"/>
      <c r="O12" s="223"/>
    </row>
    <row r="13" spans="1:15" ht="15" customHeight="1">
      <c r="A13" s="138" t="s">
        <v>77</v>
      </c>
      <c r="B13" s="139"/>
      <c r="C13" s="140"/>
      <c r="D13" s="141">
        <f>SUM(D5:D11)</f>
        <v>186</v>
      </c>
      <c r="E13" s="142"/>
      <c r="F13" s="142">
        <f>SUM(F5:F12)</f>
        <v>196602</v>
      </c>
      <c r="G13" s="142"/>
      <c r="H13" s="142">
        <f>SUM(H5:H12)</f>
        <v>1644221.4</v>
      </c>
      <c r="I13" s="142"/>
      <c r="J13" s="142">
        <f>SUM(J5:J12)</f>
        <v>0</v>
      </c>
      <c r="K13" s="142"/>
      <c r="L13" s="142">
        <f>SUM(L5:L12)</f>
        <v>0</v>
      </c>
      <c r="M13" s="142"/>
      <c r="N13" s="142">
        <f>SUM(N5:N12)</f>
        <v>1840823.4</v>
      </c>
      <c r="O13" s="142"/>
    </row>
    <row r="14" spans="1:15" ht="15" customHeight="1">
      <c r="A14" s="224" t="s">
        <v>129</v>
      </c>
      <c r="B14" s="89" t="s">
        <v>78</v>
      </c>
      <c r="C14" s="90" t="s">
        <v>69</v>
      </c>
      <c r="D14" s="93">
        <v>27</v>
      </c>
      <c r="E14" s="161">
        <v>10855</v>
      </c>
      <c r="F14" s="136">
        <f>D14*E14</f>
        <v>293085</v>
      </c>
      <c r="G14" s="135">
        <v>6668.1</v>
      </c>
      <c r="H14" s="136">
        <f>D14*G14</f>
        <v>180038.7</v>
      </c>
      <c r="I14" s="136"/>
      <c r="J14" s="136"/>
      <c r="K14" s="135"/>
      <c r="L14" s="136"/>
      <c r="M14" s="135"/>
      <c r="N14" s="136">
        <f t="shared" ref="N14:N17" si="3">F14+H14+J14+L14</f>
        <v>473123.7</v>
      </c>
      <c r="O14" s="223"/>
    </row>
    <row r="15" spans="1:15" ht="15" customHeight="1">
      <c r="A15" s="224"/>
      <c r="B15" s="89" t="s">
        <v>79</v>
      </c>
      <c r="C15" s="90" t="s">
        <v>69</v>
      </c>
      <c r="D15" s="98">
        <v>9</v>
      </c>
      <c r="E15" s="161">
        <v>10855</v>
      </c>
      <c r="F15" s="136">
        <f>D15*E15</f>
        <v>97695</v>
      </c>
      <c r="G15" s="135">
        <v>6668.1</v>
      </c>
      <c r="H15" s="136">
        <f>D15*G15</f>
        <v>60012.9</v>
      </c>
      <c r="I15" s="136"/>
      <c r="J15" s="136"/>
      <c r="K15" s="135"/>
      <c r="L15" s="136"/>
      <c r="M15" s="135"/>
      <c r="N15" s="136">
        <f t="shared" si="3"/>
        <v>157707.9</v>
      </c>
      <c r="O15" s="223"/>
    </row>
    <row r="16" spans="1:15" ht="15" customHeight="1">
      <c r="A16" s="224"/>
      <c r="B16" s="89" t="s">
        <v>80</v>
      </c>
      <c r="C16" s="90" t="s">
        <v>69</v>
      </c>
      <c r="D16" s="98">
        <v>7</v>
      </c>
      <c r="E16" s="161">
        <v>10855</v>
      </c>
      <c r="F16" s="136">
        <f>D16*E16</f>
        <v>75985</v>
      </c>
      <c r="G16" s="135">
        <v>6668.1</v>
      </c>
      <c r="H16" s="136">
        <f>D16*G16</f>
        <v>46676.700000000004</v>
      </c>
      <c r="I16" s="136"/>
      <c r="J16" s="136"/>
      <c r="K16" s="135"/>
      <c r="L16" s="136"/>
      <c r="M16" s="135"/>
      <c r="N16" s="136">
        <f t="shared" si="3"/>
        <v>122661.70000000001</v>
      </c>
      <c r="O16" s="223"/>
    </row>
    <row r="17" spans="1:15" ht="15" customHeight="1">
      <c r="A17" s="225"/>
      <c r="B17" s="89" t="s">
        <v>81</v>
      </c>
      <c r="C17" s="90" t="s">
        <v>69</v>
      </c>
      <c r="D17" s="98">
        <v>7</v>
      </c>
      <c r="E17" s="161">
        <v>10855</v>
      </c>
      <c r="F17" s="136">
        <f>D17*E17</f>
        <v>75985</v>
      </c>
      <c r="G17" s="135">
        <v>6668.1</v>
      </c>
      <c r="H17" s="136">
        <f>D17*G17</f>
        <v>46676.700000000004</v>
      </c>
      <c r="I17" s="136"/>
      <c r="J17" s="136"/>
      <c r="K17" s="135"/>
      <c r="L17" s="136"/>
      <c r="M17" s="135"/>
      <c r="N17" s="136">
        <f t="shared" si="3"/>
        <v>122661.70000000001</v>
      </c>
      <c r="O17" s="226"/>
    </row>
    <row r="18" spans="1:15" ht="15" customHeight="1">
      <c r="A18" s="112" t="s">
        <v>77</v>
      </c>
      <c r="B18" s="94"/>
      <c r="C18" s="99"/>
      <c r="D18" s="99">
        <f>SUM(D14:D17)</f>
        <v>50</v>
      </c>
      <c r="E18" s="97"/>
      <c r="F18" s="97">
        <f>SUM(F14:F17)</f>
        <v>542750</v>
      </c>
      <c r="G18" s="97"/>
      <c r="H18" s="153">
        <f>SUM(H14:H17)</f>
        <v>333405</v>
      </c>
      <c r="I18" s="97"/>
      <c r="J18" s="97">
        <f>SUM(J14:J17)</f>
        <v>0</v>
      </c>
      <c r="K18" s="97"/>
      <c r="L18" s="97">
        <f>SUM(L14:L17)</f>
        <v>0</v>
      </c>
      <c r="M18" s="97"/>
      <c r="N18" s="97">
        <f>SUM(N14:N17)</f>
        <v>876155</v>
      </c>
      <c r="O18" s="97"/>
    </row>
    <row r="19" spans="1:15" ht="15" customHeight="1">
      <c r="A19" s="116" t="s">
        <v>82</v>
      </c>
      <c r="B19" s="100"/>
      <c r="C19" s="101"/>
      <c r="D19" s="10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</row>
    <row r="20" spans="1:15" ht="15" customHeight="1">
      <c r="A20" s="144" t="s">
        <v>125</v>
      </c>
      <c r="B20" s="146" t="s">
        <v>124</v>
      </c>
      <c r="C20" s="146" t="s">
        <v>123</v>
      </c>
      <c r="D20" s="143">
        <v>0.3</v>
      </c>
      <c r="E20" s="92">
        <v>54693</v>
      </c>
      <c r="F20" s="136">
        <f>D20*E20</f>
        <v>16407.899999999998</v>
      </c>
      <c r="G20" s="145"/>
      <c r="H20" s="92"/>
      <c r="I20" s="92"/>
      <c r="J20" s="92"/>
      <c r="K20" s="92"/>
      <c r="L20" s="92"/>
      <c r="M20" s="92"/>
      <c r="N20" s="137">
        <f t="shared" ref="N20:N24" si="4">F20+H20+J20+L20</f>
        <v>16407.899999999998</v>
      </c>
      <c r="O20" s="92"/>
    </row>
    <row r="21" spans="1:15" ht="15" customHeight="1">
      <c r="A21" s="237" t="s">
        <v>83</v>
      </c>
      <c r="B21" s="100" t="s">
        <v>84</v>
      </c>
      <c r="C21" s="101" t="s">
        <v>69</v>
      </c>
      <c r="D21" s="102">
        <v>17</v>
      </c>
      <c r="E21" s="137"/>
      <c r="F21" s="137">
        <f>D21*E21</f>
        <v>0</v>
      </c>
      <c r="G21" s="137">
        <v>8711</v>
      </c>
      <c r="H21" s="137">
        <f t="shared" ref="H21:H24" si="5">D21*G21</f>
        <v>148087</v>
      </c>
      <c r="I21" s="137"/>
      <c r="J21" s="137"/>
      <c r="K21" s="137"/>
      <c r="L21" s="137"/>
      <c r="M21" s="137"/>
      <c r="N21" s="137">
        <f t="shared" si="4"/>
        <v>148087</v>
      </c>
      <c r="O21" s="92"/>
    </row>
    <row r="22" spans="1:15" ht="15" customHeight="1">
      <c r="A22" s="237"/>
      <c r="B22" s="100" t="s">
        <v>85</v>
      </c>
      <c r="C22" s="101" t="s">
        <v>69</v>
      </c>
      <c r="D22" s="102">
        <v>17</v>
      </c>
      <c r="E22" s="137"/>
      <c r="F22" s="137">
        <f t="shared" ref="F22" si="6">D22*E22</f>
        <v>0</v>
      </c>
      <c r="G22" s="137">
        <v>5159</v>
      </c>
      <c r="H22" s="137">
        <f t="shared" si="5"/>
        <v>87703</v>
      </c>
      <c r="I22" s="137"/>
      <c r="J22" s="137"/>
      <c r="K22" s="137"/>
      <c r="L22" s="137"/>
      <c r="M22" s="137"/>
      <c r="N22" s="137">
        <f t="shared" si="4"/>
        <v>87703</v>
      </c>
      <c r="O22" s="92"/>
    </row>
    <row r="23" spans="1:15" ht="15" customHeight="1">
      <c r="A23" s="237" t="s">
        <v>86</v>
      </c>
      <c r="B23" s="100" t="s">
        <v>84</v>
      </c>
      <c r="C23" s="101" t="s">
        <v>69</v>
      </c>
      <c r="D23" s="102">
        <v>11</v>
      </c>
      <c r="E23" s="137"/>
      <c r="F23" s="137">
        <f>D23*E23</f>
        <v>0</v>
      </c>
      <c r="G23" s="137">
        <v>8711</v>
      </c>
      <c r="H23" s="137">
        <f t="shared" si="5"/>
        <v>95821</v>
      </c>
      <c r="I23" s="137"/>
      <c r="J23" s="137"/>
      <c r="K23" s="137"/>
      <c r="L23" s="137"/>
      <c r="M23" s="137"/>
      <c r="N23" s="137">
        <f t="shared" si="4"/>
        <v>95821</v>
      </c>
      <c r="O23" s="92"/>
    </row>
    <row r="24" spans="1:15" ht="15" customHeight="1">
      <c r="A24" s="237"/>
      <c r="B24" s="100" t="s">
        <v>85</v>
      </c>
      <c r="C24" s="101" t="s">
        <v>69</v>
      </c>
      <c r="D24" s="102">
        <v>11</v>
      </c>
      <c r="E24" s="137"/>
      <c r="F24" s="137">
        <f t="shared" ref="F24" si="7">D24*E24</f>
        <v>0</v>
      </c>
      <c r="G24" s="137">
        <v>5159</v>
      </c>
      <c r="H24" s="137">
        <f t="shared" si="5"/>
        <v>56749</v>
      </c>
      <c r="I24" s="137"/>
      <c r="J24" s="137"/>
      <c r="K24" s="137"/>
      <c r="L24" s="137"/>
      <c r="M24" s="137"/>
      <c r="N24" s="137">
        <f t="shared" si="4"/>
        <v>56749</v>
      </c>
      <c r="O24" s="92"/>
    </row>
    <row r="25" spans="1:15" ht="15" customHeight="1">
      <c r="A25" s="112" t="s">
        <v>77</v>
      </c>
      <c r="B25" s="103"/>
      <c r="C25" s="104"/>
      <c r="D25" s="96"/>
      <c r="E25" s="97"/>
      <c r="F25" s="97">
        <f>SUM(F19:F24)</f>
        <v>16407.899999999998</v>
      </c>
      <c r="G25" s="97"/>
      <c r="H25" s="97">
        <f>SUM(H19:H24)</f>
        <v>388360</v>
      </c>
      <c r="I25" s="97"/>
      <c r="J25" s="97">
        <f>SUM(J19:J24)</f>
        <v>0</v>
      </c>
      <c r="K25" s="97"/>
      <c r="L25" s="97">
        <f>SUM(L19:L24)</f>
        <v>0</v>
      </c>
      <c r="M25" s="97"/>
      <c r="N25" s="97">
        <f>SUM(N19:N24)</f>
        <v>404767.9</v>
      </c>
      <c r="O25" s="97"/>
    </row>
    <row r="26" spans="1:15" ht="15" customHeight="1">
      <c r="A26" s="117" t="s">
        <v>87</v>
      </c>
      <c r="B26" s="89" t="s">
        <v>144</v>
      </c>
      <c r="C26" s="90" t="s">
        <v>69</v>
      </c>
      <c r="D26" s="160">
        <v>96</v>
      </c>
      <c r="E26" s="136"/>
      <c r="F26" s="136"/>
      <c r="G26" s="161">
        <v>2764</v>
      </c>
      <c r="H26" s="136">
        <f>D26*G26</f>
        <v>265344</v>
      </c>
      <c r="I26" s="136"/>
      <c r="J26" s="136"/>
      <c r="K26" s="136"/>
      <c r="L26" s="136"/>
      <c r="M26" s="136"/>
      <c r="N26" s="136">
        <f>F26+H26+J26+L26</f>
        <v>265344</v>
      </c>
      <c r="O26" s="105" t="s">
        <v>88</v>
      </c>
    </row>
    <row r="27" spans="1:15" ht="15" customHeight="1">
      <c r="A27" s="112" t="s">
        <v>77</v>
      </c>
      <c r="B27" s="94"/>
      <c r="C27" s="95"/>
      <c r="D27" s="106"/>
      <c r="E27" s="107"/>
      <c r="F27" s="107"/>
      <c r="G27" s="107"/>
      <c r="H27" s="97">
        <f>SUM(H26:H26)</f>
        <v>265344</v>
      </c>
      <c r="I27" s="107"/>
      <c r="J27" s="97">
        <f t="shared" ref="J27:N27" si="8">SUM(J26:J26)</f>
        <v>0</v>
      </c>
      <c r="K27" s="97"/>
      <c r="L27" s="97">
        <f t="shared" si="8"/>
        <v>0</v>
      </c>
      <c r="M27" s="97"/>
      <c r="N27" s="97">
        <f t="shared" si="8"/>
        <v>265344</v>
      </c>
      <c r="O27" s="107"/>
    </row>
    <row r="28" spans="1:15" ht="90" customHeight="1">
      <c r="A28" s="240" t="s">
        <v>157</v>
      </c>
      <c r="B28" s="195" t="s">
        <v>158</v>
      </c>
      <c r="C28" s="196" t="s">
        <v>155</v>
      </c>
      <c r="D28" s="194">
        <v>1</v>
      </c>
      <c r="E28" s="92"/>
      <c r="F28" s="92"/>
      <c r="G28" s="92">
        <v>219321</v>
      </c>
      <c r="H28" s="136">
        <f>D28*G28</f>
        <v>219321</v>
      </c>
      <c r="I28" s="136"/>
      <c r="J28" s="136"/>
      <c r="K28" s="136"/>
      <c r="L28" s="136"/>
      <c r="M28" s="136"/>
      <c r="N28" s="136">
        <f>F28+H28+J28+L28</f>
        <v>219321</v>
      </c>
      <c r="O28" s="92"/>
    </row>
    <row r="29" spans="1:15" ht="90" customHeight="1">
      <c r="A29" s="241"/>
      <c r="B29" s="195" t="s">
        <v>159</v>
      </c>
      <c r="C29" s="196" t="s">
        <v>155</v>
      </c>
      <c r="D29" s="194">
        <v>1</v>
      </c>
      <c r="E29" s="92"/>
      <c r="F29" s="92"/>
      <c r="G29" s="92">
        <v>167081</v>
      </c>
      <c r="H29" s="136">
        <f>D29*G29</f>
        <v>167081</v>
      </c>
      <c r="I29" s="136"/>
      <c r="J29" s="136"/>
      <c r="K29" s="136"/>
      <c r="L29" s="136"/>
      <c r="M29" s="136"/>
      <c r="N29" s="136">
        <f>F29+H29+J29+L29</f>
        <v>167081</v>
      </c>
      <c r="O29" s="92"/>
    </row>
    <row r="30" spans="1:15" ht="15" customHeight="1">
      <c r="A30" s="112" t="s">
        <v>77</v>
      </c>
      <c r="B30" s="94"/>
      <c r="C30" s="95"/>
      <c r="D30" s="106"/>
      <c r="E30" s="107"/>
      <c r="F30" s="97">
        <f>SUM(F28:F29)</f>
        <v>0</v>
      </c>
      <c r="G30" s="97"/>
      <c r="H30" s="97">
        <f>SUM(H28:H29)</f>
        <v>386402</v>
      </c>
      <c r="I30" s="97"/>
      <c r="J30" s="97">
        <f>SUM(J28:J29)</f>
        <v>0</v>
      </c>
      <c r="K30" s="97"/>
      <c r="L30" s="97">
        <f>SUM(L28:L29)</f>
        <v>0</v>
      </c>
      <c r="M30" s="97"/>
      <c r="N30" s="97">
        <f>SUM(N28:N29)</f>
        <v>386402</v>
      </c>
      <c r="O30" s="107"/>
    </row>
    <row r="31" spans="1:15" ht="15" customHeight="1">
      <c r="A31" s="112" t="s">
        <v>122</v>
      </c>
      <c r="B31" s="94"/>
      <c r="C31" s="95"/>
      <c r="D31" s="106"/>
      <c r="E31" s="108"/>
      <c r="F31" s="109">
        <f>F13+F18+F25+F27+F30</f>
        <v>755759.9</v>
      </c>
      <c r="G31" s="109"/>
      <c r="H31" s="109">
        <f>H13+H18+H25+H27+H30</f>
        <v>3017732.4</v>
      </c>
      <c r="I31" s="108"/>
      <c r="J31" s="109">
        <f>J13+J18+J25+J27+J30</f>
        <v>0</v>
      </c>
      <c r="K31" s="108"/>
      <c r="L31" s="109">
        <f>L13+L18+L25+L27+L30</f>
        <v>0</v>
      </c>
      <c r="M31" s="108"/>
      <c r="N31" s="109">
        <f>N13+N18+N25+N27+N30</f>
        <v>3773492.3</v>
      </c>
      <c r="O31" s="108"/>
    </row>
  </sheetData>
  <mergeCells count="19">
    <mergeCell ref="A21:A22"/>
    <mergeCell ref="A23:A24"/>
    <mergeCell ref="A5:A12"/>
    <mergeCell ref="A28:A29"/>
    <mergeCell ref="A4:B4"/>
    <mergeCell ref="O5:O12"/>
    <mergeCell ref="A14:A17"/>
    <mergeCell ref="O14:O17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4164D-AC38-4109-81BB-B45DA5D87ED7}">
  <dimension ref="A1:F11"/>
  <sheetViews>
    <sheetView showGridLines="0" zoomScaleNormal="100" workbookViewId="0">
      <selection activeCell="M17" sqref="M17"/>
    </sheetView>
  </sheetViews>
  <sheetFormatPr defaultColWidth="9" defaultRowHeight="16.5"/>
  <cols>
    <col min="1" max="1" width="25.125" style="167" customWidth="1"/>
    <col min="2" max="2" width="16.25" style="167" customWidth="1"/>
    <col min="3" max="3" width="22.375" style="167" customWidth="1"/>
    <col min="4" max="4" width="24.125" style="167" customWidth="1"/>
    <col min="5" max="5" width="13" style="167" customWidth="1"/>
    <col min="6" max="6" width="9" style="167" customWidth="1"/>
    <col min="7" max="16384" width="9" style="163"/>
  </cols>
  <sheetData>
    <row r="1" spans="1:6" ht="18" customHeight="1">
      <c r="A1" s="162" t="s">
        <v>148</v>
      </c>
      <c r="B1" s="162" t="s">
        <v>149</v>
      </c>
      <c r="C1" s="162" t="s">
        <v>150</v>
      </c>
      <c r="D1" s="162" t="s">
        <v>151</v>
      </c>
      <c r="E1" s="162" t="s">
        <v>152</v>
      </c>
      <c r="F1" s="162" t="s">
        <v>0</v>
      </c>
    </row>
    <row r="2" spans="1:6">
      <c r="A2" s="164" t="str">
        <f>'내역서(표준단가)'!A5</f>
        <v>M020853710050101</v>
      </c>
      <c r="B2" s="165">
        <f>'내역서(표준단가)'!F5</f>
        <v>0</v>
      </c>
      <c r="C2" s="165">
        <f>'내역서(표준단가)'!G5</f>
        <v>0</v>
      </c>
      <c r="D2" s="165" t="str">
        <f>'내역서(표준단가)'!H5</f>
        <v>M020853710050101</v>
      </c>
      <c r="E2" s="165">
        <f>'내역서(표준단가)'!I5</f>
        <v>0</v>
      </c>
      <c r="F2" s="166">
        <f>'내역서(표준단가)'!M5</f>
        <v>186</v>
      </c>
    </row>
    <row r="3" spans="1:6">
      <c r="A3" s="164" t="str">
        <f>'내역서(표준단가)'!A6</f>
        <v>E00000803071260301</v>
      </c>
      <c r="B3" s="165">
        <f>'내역서(표준단가)'!F6</f>
        <v>0</v>
      </c>
      <c r="C3" s="165" t="str">
        <f>'내역서(표준단가)'!G6</f>
        <v>E00000803071260301</v>
      </c>
      <c r="D3" s="165">
        <f>'내역서(표준단가)'!H6</f>
        <v>0</v>
      </c>
      <c r="E3" s="165">
        <f>'내역서(표준단가)'!I6</f>
        <v>0</v>
      </c>
      <c r="F3" s="166">
        <f>'내역서(표준단가)'!M6</f>
        <v>4.0430000000000001</v>
      </c>
    </row>
    <row r="4" spans="1:6">
      <c r="A4" s="164" t="str">
        <f>'내역서(표준단가)'!A7</f>
        <v>M020809012520101</v>
      </c>
      <c r="B4" s="165">
        <f>'내역서(표준단가)'!F7</f>
        <v>0</v>
      </c>
      <c r="C4" s="165">
        <f>'내역서(표준단가)'!G7</f>
        <v>0</v>
      </c>
      <c r="D4" s="165" t="str">
        <f>'내역서(표준단가)'!H7</f>
        <v>M020809012520101</v>
      </c>
      <c r="E4" s="165">
        <f>'내역서(표준단가)'!I7</f>
        <v>0</v>
      </c>
      <c r="F4" s="166">
        <f>'내역서(표준단가)'!M7</f>
        <v>50</v>
      </c>
    </row>
    <row r="5" spans="1:6">
      <c r="A5" s="164" t="str">
        <f>'내역서(표준단가)'!A8</f>
        <v>E00000803071260401</v>
      </c>
      <c r="B5" s="165">
        <f>'내역서(표준단가)'!F8</f>
        <v>0</v>
      </c>
      <c r="C5" s="165" t="str">
        <f>'내역서(표준단가)'!G8</f>
        <v>E00000803071260401</v>
      </c>
      <c r="D5" s="165">
        <f>'내역서(표준단가)'!H8</f>
        <v>0</v>
      </c>
      <c r="E5" s="165">
        <f>'내역서(표준단가)'!I8</f>
        <v>0</v>
      </c>
      <c r="F5" s="166">
        <f>'내역서(표준단가)'!M8</f>
        <v>0.81950000000000001</v>
      </c>
    </row>
    <row r="6" spans="1:6">
      <c r="A6" s="164" t="str">
        <f>'내역서(표준단가)'!A9</f>
        <v>M020412614110102</v>
      </c>
      <c r="B6" s="165">
        <f>'내역서(표준단가)'!F9</f>
        <v>0</v>
      </c>
      <c r="C6" s="165">
        <f>'내역서(표준단가)'!G9</f>
        <v>0</v>
      </c>
      <c r="D6" s="165" t="str">
        <f>'내역서(표준단가)'!H9</f>
        <v>M020412614110102</v>
      </c>
      <c r="E6" s="165">
        <f>'내역서(표준단가)'!I9</f>
        <v>0</v>
      </c>
      <c r="F6" s="166">
        <f>'내역서(표준단가)'!M9</f>
        <v>0.3</v>
      </c>
    </row>
    <row r="7" spans="1:6">
      <c r="A7" s="164" t="str">
        <f>'내역서(표준단가)'!A10</f>
        <v>E00000803061120402</v>
      </c>
      <c r="B7" s="165">
        <f>'내역서(표준단가)'!F10</f>
        <v>0</v>
      </c>
      <c r="C7" s="165" t="str">
        <f>'내역서(표준단가)'!G10</f>
        <v>E00000803061120402</v>
      </c>
      <c r="D7" s="165">
        <f>'내역서(표준단가)'!H10</f>
        <v>0</v>
      </c>
      <c r="E7" s="165">
        <f>'내역서(표준단가)'!I10</f>
        <v>0</v>
      </c>
      <c r="F7" s="166">
        <f>'내역서(표준단가)'!M10</f>
        <v>28</v>
      </c>
    </row>
    <row r="8" spans="1:6">
      <c r="A8" s="164" t="str">
        <f>'내역서(표준단가)'!A11</f>
        <v>E00000803061300201</v>
      </c>
      <c r="B8" s="165">
        <f>'내역서(표준단가)'!F11</f>
        <v>0</v>
      </c>
      <c r="C8" s="165" t="str">
        <f>'내역서(표준단가)'!G11</f>
        <v>E00000803061300201</v>
      </c>
      <c r="D8" s="165">
        <f>'내역서(표준단가)'!H11</f>
        <v>0</v>
      </c>
      <c r="E8" s="165">
        <f>'내역서(표준단가)'!I11</f>
        <v>0</v>
      </c>
      <c r="F8" s="166">
        <f>'내역서(표준단가)'!M11</f>
        <v>28</v>
      </c>
    </row>
    <row r="9" spans="1:6">
      <c r="A9" s="164" t="str">
        <f>'내역서(표준단가)'!A12</f>
        <v>E00000801011510601</v>
      </c>
      <c r="B9" s="165">
        <f>'내역서(표준단가)'!F12</f>
        <v>0</v>
      </c>
      <c r="C9" s="165" t="str">
        <f>'내역서(표준단가)'!G12</f>
        <v>E00000801011510601</v>
      </c>
      <c r="D9" s="165">
        <f>'내역서(표준단가)'!H12</f>
        <v>0</v>
      </c>
      <c r="E9" s="165">
        <f>'내역서(표준단가)'!I12</f>
        <v>0</v>
      </c>
      <c r="F9" s="166">
        <f>'내역서(표준단가)'!M12</f>
        <v>96</v>
      </c>
    </row>
    <row r="10" spans="1:6">
      <c r="A10" s="164" t="str">
        <f>'내역서(표준단가)'!A13</f>
        <v>L003</v>
      </c>
      <c r="B10" s="165">
        <f>'내역서(표준단가)'!F13</f>
        <v>0</v>
      </c>
      <c r="C10" s="165">
        <f>'내역서(표준단가)'!G13</f>
        <v>0</v>
      </c>
      <c r="D10" s="165">
        <f>'내역서(표준단가)'!H13</f>
        <v>0</v>
      </c>
      <c r="E10" s="165" t="str">
        <f>'내역서(표준단가)'!I13</f>
        <v>L003</v>
      </c>
      <c r="F10" s="166">
        <f>'내역서(표준단가)'!M13</f>
        <v>1</v>
      </c>
    </row>
    <row r="11" spans="1:6">
      <c r="A11" s="164" t="str">
        <f>'내역서(표준단가)'!A14</f>
        <v>L002</v>
      </c>
      <c r="B11" s="165">
        <f>'내역서(표준단가)'!F14</f>
        <v>0</v>
      </c>
      <c r="C11" s="165">
        <f>'내역서(표준단가)'!G14</f>
        <v>0</v>
      </c>
      <c r="D11" s="165">
        <f>'내역서(표준단가)'!H14</f>
        <v>0</v>
      </c>
      <c r="E11" s="165" t="str">
        <f>'내역서(표준단가)'!I14</f>
        <v>L002</v>
      </c>
      <c r="F11" s="166">
        <f>'내역서(표준단가)'!M14</f>
        <v>1</v>
      </c>
    </row>
  </sheetData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상세내역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2025-02-11T02:38:36Z</dcterms:modified>
</cp:coreProperties>
</file>
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9 사택 104-203 수장공사 및 기타보수\"/>
    </mc:Choice>
  </mc:AlternateContent>
  <xr:revisionPtr revIDLastSave="0" documentId="13_ncr:1_{D48288D4-4B02-4D9A-A28A-A5CEE24586BA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0" l="1"/>
  <c r="E14" i="10"/>
  <c r="D14" i="10"/>
  <c r="C14" i="10"/>
  <c r="B14" i="10"/>
  <c r="A14" i="10"/>
  <c r="F13" i="10"/>
  <c r="E13" i="10"/>
  <c r="D13" i="10"/>
  <c r="C13" i="10"/>
  <c r="B13" i="10"/>
  <c r="F12" i="10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A10" i="10"/>
  <c r="F9" i="10"/>
  <c r="E9" i="10"/>
  <c r="D9" i="10"/>
  <c r="C9" i="10"/>
  <c r="B9" i="10"/>
  <c r="F8" i="10"/>
  <c r="E8" i="10"/>
  <c r="D8" i="10"/>
  <c r="C8" i="10"/>
  <c r="B8" i="10"/>
  <c r="A8" i="10"/>
  <c r="F7" i="10"/>
  <c r="E7" i="10"/>
  <c r="D7" i="10"/>
  <c r="C7" i="10"/>
  <c r="B7" i="10"/>
  <c r="F6" i="10"/>
  <c r="E6" i="10"/>
  <c r="D6" i="10"/>
  <c r="C6" i="10"/>
  <c r="B6" i="10"/>
  <c r="A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U17" i="4"/>
  <c r="S17" i="4"/>
  <c r="Q17" i="4"/>
  <c r="O17" i="4"/>
  <c r="A17" i="4"/>
  <c r="U16" i="4"/>
  <c r="S16" i="4"/>
  <c r="Q16" i="4"/>
  <c r="O16" i="4"/>
  <c r="A16" i="4"/>
  <c r="A13" i="10" s="1"/>
  <c r="U15" i="4"/>
  <c r="S15" i="4"/>
  <c r="Q15" i="4"/>
  <c r="O15" i="4"/>
  <c r="A15" i="4"/>
  <c r="A12" i="10" s="1"/>
  <c r="U14" i="4"/>
  <c r="S14" i="4"/>
  <c r="Q14" i="4"/>
  <c r="O14" i="4"/>
  <c r="A14" i="4"/>
  <c r="A11" i="10" s="1"/>
  <c r="U13" i="4"/>
  <c r="S13" i="4"/>
  <c r="Q13" i="4"/>
  <c r="O13" i="4"/>
  <c r="A13" i="4"/>
  <c r="U12" i="4"/>
  <c r="S12" i="4"/>
  <c r="Q12" i="4"/>
  <c r="O12" i="4"/>
  <c r="A12" i="4"/>
  <c r="A9" i="10" s="1"/>
  <c r="U11" i="4"/>
  <c r="S11" i="4"/>
  <c r="Q11" i="4"/>
  <c r="O11" i="4"/>
  <c r="A11" i="4"/>
  <c r="O10" i="4"/>
  <c r="V10" i="4" s="1"/>
  <c r="A10" i="4"/>
  <c r="A7" i="10" s="1"/>
  <c r="U9" i="4"/>
  <c r="S9" i="4"/>
  <c r="Q9" i="4"/>
  <c r="O9" i="4"/>
  <c r="A9" i="4"/>
  <c r="U8" i="4"/>
  <c r="S8" i="4"/>
  <c r="Q8" i="4"/>
  <c r="O8" i="4"/>
  <c r="A8" i="4"/>
  <c r="A5" i="10" s="1"/>
  <c r="U7" i="4"/>
  <c r="S7" i="4"/>
  <c r="Q7" i="4"/>
  <c r="O7" i="4"/>
  <c r="A7" i="4"/>
  <c r="A4" i="10" s="1"/>
  <c r="U6" i="4"/>
  <c r="S6" i="4"/>
  <c r="Q6" i="4"/>
  <c r="O6" i="4"/>
  <c r="A6" i="4"/>
  <c r="A3" i="10" s="1"/>
  <c r="U5" i="4"/>
  <c r="S5" i="4"/>
  <c r="Q5" i="4"/>
  <c r="O5" i="4"/>
  <c r="A5" i="4"/>
  <c r="L33" i="9"/>
  <c r="J33" i="9"/>
  <c r="H32" i="9"/>
  <c r="N32" i="9" s="1"/>
  <c r="H31" i="9"/>
  <c r="H30" i="9"/>
  <c r="F30" i="9"/>
  <c r="N30" i="9" s="1"/>
  <c r="N29" i="9"/>
  <c r="H29" i="9"/>
  <c r="F29" i="9"/>
  <c r="L27" i="9"/>
  <c r="J27" i="9"/>
  <c r="H26" i="9"/>
  <c r="H27" i="9" s="1"/>
  <c r="L25" i="9"/>
  <c r="J25" i="9"/>
  <c r="H24" i="9"/>
  <c r="F24" i="9"/>
  <c r="H23" i="9"/>
  <c r="F23" i="9"/>
  <c r="N23" i="9" s="1"/>
  <c r="H22" i="9"/>
  <c r="F22" i="9"/>
  <c r="N22" i="9" s="1"/>
  <c r="H21" i="9"/>
  <c r="F21" i="9"/>
  <c r="F20" i="9"/>
  <c r="L18" i="9"/>
  <c r="J18" i="9"/>
  <c r="D18" i="9"/>
  <c r="H17" i="9"/>
  <c r="F17" i="9"/>
  <c r="N17" i="9" s="1"/>
  <c r="H16" i="9"/>
  <c r="F16" i="9"/>
  <c r="N16" i="9" s="1"/>
  <c r="H15" i="9"/>
  <c r="F15" i="9"/>
  <c r="N15" i="9" s="1"/>
  <c r="H14" i="9"/>
  <c r="F14" i="9"/>
  <c r="L13" i="9"/>
  <c r="J13" i="9"/>
  <c r="J34" i="9" s="1"/>
  <c r="H12" i="9"/>
  <c r="N12" i="9" s="1"/>
  <c r="F12" i="9"/>
  <c r="H11" i="9"/>
  <c r="F11" i="9"/>
  <c r="N11" i="9" s="1"/>
  <c r="H10" i="9"/>
  <c r="F10" i="9"/>
  <c r="N10" i="9" s="1"/>
  <c r="H9" i="9"/>
  <c r="F9" i="9"/>
  <c r="N9" i="9" s="1"/>
  <c r="H8" i="9"/>
  <c r="N8" i="9" s="1"/>
  <c r="F8" i="9"/>
  <c r="H7" i="9"/>
  <c r="F7" i="9"/>
  <c r="H6" i="9"/>
  <c r="F6" i="9"/>
  <c r="N6" i="9" s="1"/>
  <c r="H5" i="9"/>
  <c r="F5" i="9"/>
  <c r="L34" i="9" l="1"/>
  <c r="F13" i="9"/>
  <c r="F25" i="9"/>
  <c r="N24" i="9"/>
  <c r="V13" i="4"/>
  <c r="H33" i="9"/>
  <c r="V7" i="4"/>
  <c r="N7" i="9"/>
  <c r="H18" i="9"/>
  <c r="H25" i="9"/>
  <c r="H13" i="9"/>
  <c r="N5" i="9"/>
  <c r="F33" i="9"/>
  <c r="V17" i="4"/>
  <c r="H34" i="9"/>
  <c r="U18" i="4"/>
  <c r="V8" i="4"/>
  <c r="V14" i="4"/>
  <c r="O18" i="4"/>
  <c r="F16" i="5" s="1"/>
  <c r="V9" i="4"/>
  <c r="V11" i="4"/>
  <c r="V15" i="4"/>
  <c r="S18" i="4"/>
  <c r="V6" i="4"/>
  <c r="V12" i="4"/>
  <c r="V16" i="4"/>
  <c r="V5" i="4"/>
  <c r="Q18" i="4"/>
  <c r="F17" i="5" s="1"/>
  <c r="N13" i="9"/>
  <c r="F18" i="9"/>
  <c r="F34" i="9" s="1"/>
  <c r="N14" i="9"/>
  <c r="N18" i="9" s="1"/>
  <c r="N21" i="9"/>
  <c r="N26" i="9"/>
  <c r="N27" i="9" s="1"/>
  <c r="N31" i="9"/>
  <c r="N33" i="9" s="1"/>
  <c r="N20" i="9"/>
  <c r="V18" i="4" l="1"/>
  <c r="F18" i="5"/>
  <c r="N25" i="9"/>
  <c r="N34" i="9" s="1"/>
  <c r="F2" i="10" l="1"/>
  <c r="E2" i="10"/>
  <c r="D2" i="10"/>
  <c r="C2" i="10"/>
  <c r="B2" i="10"/>
  <c r="A2" i="10" l="1"/>
  <c r="F26" i="5" l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<sst xmlns="http://schemas.openxmlformats.org/spreadsheetml/2006/main" count="236" uniqueCount="181">
  <si>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</si>
  <si>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</si>
  <si>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</si>
  <si>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</si>
  <si>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</si>
  <si>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</si>
  <si>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</si>
  <si>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</si>
  <si>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</si>
  <si>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</si>
  <si>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</si>
  <si>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</si>
  <si>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</si>
  <si>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</si>
  <si>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</si>
  <si>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</si>
  <si>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</si>
  <si>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</si>
  <si>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</si>
  <si>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</si>
  <si>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</si>
  <si>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</si>
  <si>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</si>
  <si>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</si>
  <si>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</si>
  <si>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</si>
  <si>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</si>
  <si>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</si>
  <si>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</si>
  <si>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</si>
  <si>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</si>
  <si>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</si>
  <si>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</si>
  <si>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</si>
  <si>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</si>
  <si>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</si>
  <si>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</si>
  <si>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</si>
  <si>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</si>
  <si>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</si>
  <si>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</si>
  <si>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</si>
  <si>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</si>
  <si>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</si>
  <si>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</si>
  <si>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</si>
  <si>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</si>
  <si>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</si>
  <si>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</si>
  <si>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</si>
  <si>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</si>
  <si>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</si>
  <si>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</si>
  <si>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</si>
  <si>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</si>
  <si>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</si>
  <si>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</si>
  <si>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</si>
  <si>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</si>
  <si>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</si>
  <si>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</si>
  <si>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</si>
  <si>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</si>
  <si>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</si>
  <si>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</si>
  <si>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</si>
  <si>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</si>
  <si>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</si>
  <si>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</si>
  <si>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</si>
  <si>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</si>
  <si>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</si>
  <si>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</si>
  <si>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</si>
  <si>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</si>
  <si>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</si>
  <si>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</si>
  <si>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</si>
  <si>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</si>
  <si>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</si>
  <si>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</si>
  <si>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</si>
  <si>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</si>
  <si>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</si>
  <si>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</si>
  <si>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</si>
  <si>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</si>
  <si>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</si>
  <si>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</si>
  <si>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</si>
  <si>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</si>
  <si>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</si>
  <si>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</si>
  <si>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</si>
  <si>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</si>
  <si>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</si>
  <si>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</si>
  <si>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</si>
  <si>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</si>
  <si>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</si>
  <si>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</si>
  <si>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</si>
  <si>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</si>
  <si>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</si>
  <si>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</si>
  <si>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</si>
  <si>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</si>
  <si>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</si>
  <si>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</si>
  <si>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</si>
  <si>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</si>
  <si>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</si>
  <si>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</si>
  <si>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</si>
  <si>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</si>
  <si>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</si>
  <si>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</si>
  <si>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</si>
  <si>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</si>
  <si>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</si>
  <si>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</si>
  <si>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</si>
  <si>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</si>
  <si>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</si>
  <si>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</si>
  <si>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</si>
  <si>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</si>
  <si>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</si>
  <si>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</si>
  <si>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</si>
  <si>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</si>
  <si>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</si>
  <si>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</si>
  <si>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</si>
  <si>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</si>
  <si>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</si>
  <si>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</si>
  <si>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</si>
  <si>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</si>
  <si>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</si>
  <si>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</si>
  <si>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</si>
  <si>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</si>
  <si>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</si>
  <si>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</si>
  <si>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</si>
  <si>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</si>
  <si>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</si>
  <si>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</si>
  <si>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</si>
  <si>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</si>
  <si>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</si>
  <si>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</si>
  <si>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>사택 104-203 수장공사</t>
    <phoneticPr fontId="5" type="noConversion"/>
  </si>
  <si>
    <t>5.기타작업</t>
    <phoneticPr fontId="5" type="noConversion"/>
  </si>
  <si>
    <t>방충망 교체(4개소)</t>
    <phoneticPr fontId="5" type="noConversion"/>
  </si>
  <si>
    <t>뒤베란다,주방,주방좌측방, 현관입구방</t>
    <phoneticPr fontId="5" type="noConversion"/>
  </si>
  <si>
    <t>개소</t>
    <phoneticPr fontId="5" type="noConversion"/>
  </si>
  <si>
    <t>씽크대 상판 전체 재코킹 작업</t>
    <phoneticPr fontId="5" type="noConversion"/>
  </si>
  <si>
    <t>코킹재(다우실 1000),1액형 실리콘, 발코니 창호 주위 조인트용(창틀용)</t>
    <phoneticPr fontId="5" type="noConversion"/>
  </si>
  <si>
    <t>270㎖</t>
    <phoneticPr fontId="7" type="noConversion"/>
  </si>
  <si>
    <t>보통인부</t>
    <phoneticPr fontId="5" type="noConversion"/>
  </si>
  <si>
    <t>인</t>
    <phoneticPr fontId="7" type="noConversion"/>
  </si>
  <si>
    <t>걸레받이교체(5개소) 및 도어보수 3개소</t>
    <phoneticPr fontId="5" type="noConversion"/>
  </si>
  <si>
    <t>M020450310340103</t>
  </si>
  <si>
    <t>방충망 AL</t>
  </si>
  <si>
    <t>MFA, 1,000×1,000㎜, AL도장</t>
  </si>
  <si>
    <t>㎡</t>
  </si>
  <si>
    <t>M020251411670101</t>
  </si>
  <si>
    <t>다우실 1000</t>
    <phoneticPr fontId="5" type="noConversion"/>
  </si>
  <si>
    <t>1액형 실리콘, 발코니 창호 주위 조인트용(창틀용)</t>
    <phoneticPr fontId="5" type="noConversion"/>
  </si>
  <si>
    <t>270㎖</t>
    <phoneticPr fontId="5" type="noConversion"/>
  </si>
  <si>
    <t>L002</t>
    <phoneticPr fontId="5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</si>
  <si>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5" type="noConversion"/>
  </si>
  <si>
    <t>인</t>
    <phoneticPr fontId="5" type="noConversion"/>
  </si>
  <si>
    <t>L003</t>
    <phoneticPr fontId="5" type="noConversion"/>
  </si>
  <si>
    <r>
      <rPr>
        <sz val="10"/>
        <rFont val="맑은 고딕"/>
        <family val="1"/>
        <charset val="129"/>
      </rPr>
      <t>걸레받이교체</t>
    </r>
    <r>
      <rPr>
        <sz val="10"/>
        <rFont val="Arial"/>
        <family val="1"/>
      </rPr>
      <t>(5</t>
    </r>
    <r>
      <rPr>
        <sz val="10"/>
        <rFont val="맑은 고딕"/>
        <family val="1"/>
        <charset val="129"/>
      </rPr>
      <t>개소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및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도어보수</t>
    </r>
    <r>
      <rPr>
        <sz val="10"/>
        <rFont val="Arial"/>
        <family val="1"/>
      </rPr>
      <t xml:space="preserve"> 3</t>
    </r>
    <r>
      <rPr>
        <sz val="10"/>
        <rFont val="맑은 고딕"/>
        <family val="1"/>
        <charset val="129"/>
      </rPr>
      <t>개소</t>
    </r>
    <phoneticPr fontId="5" type="noConversion"/>
  </si>
  <si>
    <t xml:space="preserve"> 공사명 : 사택 104-203 수장공사</t>
    <phoneticPr fontId="11" type="noConversion"/>
  </si>
  <si>
    <t xml:space="preserve"> 견적일 : 2025 년  09월  22일</t>
    <phoneticPr fontId="11" type="noConversion"/>
  </si>
  <si>
    <t>걸레받이 보수-안방2+거실1+현관입구2, 주방좌측방 문틀 상부 보수, 문끌림-2개(주방좌측방문,방화문)보수 자재비포함, 특별인부</t>
    <phoneticPr fontId="5" type="noConversion"/>
  </si>
  <si>
    <t>걸레받이 보수-안방2+거실1+현관입구2, 주방좌측방 문틀 상부 보수, 문끌림-2개(주방좌측방문,방화문)보수 자재비포함, 특별인부 2인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</si>
</sst>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  <numFmt numFmtId="193" formatCode="#,###,###,###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9"/>
      <color theme="1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23" fillId="4" borderId="35" xfId="13" applyNumberFormat="1" applyFont="1" applyFill="1" applyBorder="1" applyAlignment="1">
      <alignment vertical="center"/>
    </xf>
    <xf numFmtId="182" fontId="25" fillId="4" borderId="30" xfId="13" applyNumberFormat="1" applyFont="1" applyFill="1" applyBorder="1" applyAlignment="1">
      <alignment horizontal="right" vertical="center" wrapText="1"/>
    </xf>
    <xf numFmtId="182" fontId="24" fillId="4" borderId="30" xfId="16" applyNumberFormat="1" applyFont="1" applyFill="1" applyBorder="1" applyAlignment="1">
      <alignment vertical="center"/>
    </xf>
    <xf numFmtId="193" fontId="24" fillId="4" borderId="30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vertical="center"/>
    </xf>
    <xf numFmtId="0" fontId="24" fillId="4" borderId="30" xfId="15" applyFont="1" applyFill="1" applyBorder="1" applyAlignment="1">
      <alignment horizontal="center" vertical="center" wrapText="1"/>
    </xf>
    <xf numFmtId="0" fontId="24" fillId="4" borderId="30" xfId="15" applyFont="1" applyFill="1" applyBorder="1" applyAlignment="1">
      <alignment horizontal="center" vertical="center"/>
    </xf>
    <xf numFmtId="0" fontId="19" fillId="4" borderId="30" xfId="13" applyNumberFormat="1" applyFont="1" applyFill="1" applyBorder="1" applyAlignment="1">
      <alignment vertical="center" wrapText="1"/>
    </xf>
    <xf numFmtId="49" fontId="27" fillId="6" borderId="2" xfId="0" applyNumberFormat="1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49" fontId="29" fillId="4" borderId="2" xfId="0" applyNumberFormat="1" applyFont="1" applyFill="1" applyBorder="1" applyAlignment="1">
      <alignment horizontal="center" vertical="center"/>
    </xf>
    <xf numFmtId="177" fontId="29" fillId="4" borderId="2" xfId="1" applyFont="1" applyFill="1" applyBorder="1" applyAlignment="1">
      <alignment horizontal="center" vertical="center"/>
    </xf>
    <xf numFmtId="49" fontId="30" fillId="6" borderId="2" xfId="0" applyNumberFormat="1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 wrapText="1"/>
    </xf>
    <xf numFmtId="49" fontId="31" fillId="4" borderId="2" xfId="0" applyNumberFormat="1" applyFont="1" applyFill="1" applyBorder="1" applyAlignment="1">
      <alignment horizontal="center" vertical="center" wrapText="1"/>
    </xf>
    <xf numFmtId="184" fontId="34" fillId="4" borderId="30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0" fontId="19" fillId="4" borderId="31" xfId="15" applyFont="1" applyFill="1" applyBorder="1" applyAlignment="1">
      <alignment vertical="center" wrapText="1"/>
    </xf>
    <xf numFmtId="0" fontId="19" fillId="4" borderId="34" xfId="15" applyFont="1" applyFill="1" applyBorder="1" applyAlignment="1">
      <alignment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7" zoomScale="85" zoomScaleNormal="85" workbookViewId="0">
      <selection activeCell="S16" sqref="R15:S16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3" t="s">
        <v>1</v>
      </c>
      <c r="B2" s="183"/>
      <c r="C2" s="183"/>
      <c r="D2" s="183"/>
      <c r="E2" s="183"/>
      <c r="F2" s="183"/>
      <c r="G2" s="183"/>
      <c r="H2" s="2"/>
    </row>
    <row r="3" spans="1:9" ht="14.25">
      <c r="A3" s="128"/>
      <c r="B3" s="128"/>
      <c r="C3" s="128"/>
      <c r="D3" s="128"/>
      <c r="E3" s="128"/>
      <c r="F3" s="128"/>
      <c r="G3" s="128"/>
      <c r="H3" s="128"/>
    </row>
    <row r="4" spans="1:9" ht="14.25">
      <c r="A4" s="128"/>
      <c r="B4" s="128"/>
      <c r="C4" s="128"/>
      <c r="D4" s="128"/>
      <c r="E4" s="128"/>
      <c r="H4" s="128"/>
    </row>
    <row r="5" spans="1:9" ht="27" customHeight="1">
      <c r="A5" s="129" t="s">
        <v>43</v>
      </c>
      <c r="B5" s="4"/>
      <c r="C5" s="5"/>
      <c r="D5" s="128"/>
      <c r="E5" s="128"/>
      <c r="F5" s="6" t="s">
        <v>33</v>
      </c>
      <c r="G5" s="7" t="s">
        <v>47</v>
      </c>
      <c r="H5" s="128"/>
    </row>
    <row r="6" spans="1:9" ht="27" customHeight="1">
      <c r="A6" s="128"/>
      <c r="B6" s="128"/>
      <c r="C6" s="128"/>
      <c r="D6" s="128"/>
      <c r="E6" s="128"/>
      <c r="F6" s="8" t="s">
        <v>36</v>
      </c>
      <c r="G6" s="9" t="s">
        <v>48</v>
      </c>
      <c r="H6" s="128"/>
    </row>
    <row r="7" spans="1:9" ht="27" customHeight="1">
      <c r="A7" s="186" t="s">
        <v>177</v>
      </c>
      <c r="B7" s="187"/>
      <c r="C7" s="188"/>
      <c r="D7" s="128"/>
      <c r="E7" s="10"/>
      <c r="F7" s="11" t="s">
        <v>37</v>
      </c>
      <c r="G7" s="9" t="s">
        <v>49</v>
      </c>
      <c r="H7" s="128"/>
    </row>
    <row r="8" spans="1:9" ht="27" customHeight="1">
      <c r="A8" s="128"/>
      <c r="B8" s="128"/>
      <c r="C8" s="128"/>
      <c r="D8" s="128"/>
      <c r="E8" s="128"/>
      <c r="F8" s="8" t="s">
        <v>38</v>
      </c>
      <c r="G8" s="9" t="s">
        <v>50</v>
      </c>
      <c r="H8" s="128"/>
    </row>
    <row r="9" spans="1:9" ht="27" customHeight="1">
      <c r="A9" s="186" t="s">
        <v>178</v>
      </c>
      <c r="B9" s="187"/>
      <c r="C9" s="188"/>
      <c r="D9" s="128"/>
      <c r="E9" s="128"/>
      <c r="F9" s="8" t="s">
        <v>39</v>
      </c>
      <c r="G9" s="9" t="s">
        <v>51</v>
      </c>
      <c r="H9" s="128"/>
    </row>
    <row r="10" spans="1:9" ht="27" customHeight="1">
      <c r="A10" s="128"/>
      <c r="B10" s="128"/>
      <c r="C10" s="128"/>
      <c r="D10" s="128"/>
      <c r="E10" s="128"/>
      <c r="F10" s="12" t="s">
        <v>34</v>
      </c>
      <c r="G10" s="13" t="s">
        <v>52</v>
      </c>
      <c r="H10" s="128"/>
      <c r="I10" s="128"/>
    </row>
    <row r="11" spans="1:9" ht="27" customHeight="1">
      <c r="A11" s="184"/>
      <c r="B11" s="185"/>
      <c r="C11" s="185"/>
      <c r="D11" s="128"/>
      <c r="E11" s="14"/>
      <c r="F11" s="15" t="s">
        <v>35</v>
      </c>
      <c r="G11" s="16" t="s">
        <v>53</v>
      </c>
      <c r="H11" s="14"/>
    </row>
    <row r="12" spans="1:9" ht="18.75" thickBot="1">
      <c r="A12" s="17" t="s">
        <v>2</v>
      </c>
      <c r="B12" s="17" t="str">
        <f>NUMBERSTRING(F31,1)</f>
        <v>육백이십육만이천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'내역서(표준단가)'!O18</f>
        <v>1083868.9945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'내역서(표준단가)'!Q18</f>
        <v>4215614.2110120002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'내역서(표준단가)'!S18+'내역서(표준단가)'!U18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5299483.2055120002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189702.63949554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149443.52378037543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19352.936329558619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42577.703531221203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150075.86591202722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164813.92769142322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246579.04038760738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962545.63712775311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6262028.8426397536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6262000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80" zoomScaleNormal="80" workbookViewId="0">
      <pane ySplit="4" topLeftCell="A6" activePane="bottomLeft" state="frozen"/>
      <selection pane="bottomLeft" activeCell="AA17" sqref="AA17"/>
    </sheetView>
  </sheetViews>
  <sheetFormatPr defaultColWidth="9" defaultRowHeight="38.1" customHeight="1"/>
  <cols>
    <col min="1" max="1" width="22.625" style="158" bestFit="1" customWidth="1"/>
    <col min="2" max="5" width="4.625" style="158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1.375" style="146" bestFit="1" customWidth="1"/>
    <col min="13" max="13" width="8.25" style="146" customWidth="1"/>
    <col min="14" max="14" width="10.625" style="146" bestFit="1" customWidth="1"/>
    <col min="15" max="15" width="15.5" style="146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0.625" style="65" bestFit="1" customWidth="1"/>
    <col min="24" max="24" width="8.5" style="146" bestFit="1" customWidth="1"/>
    <col min="25" max="16384" width="9" style="146"/>
  </cols>
  <sheetData>
    <row r="1" spans="1:24" ht="19.899999999999999" customHeight="1">
      <c r="A1" s="189"/>
      <c r="B1" s="189"/>
      <c r="C1" s="189"/>
      <c r="D1" s="189"/>
      <c r="E1" s="189"/>
      <c r="F1" s="189"/>
      <c r="G1" s="189"/>
      <c r="H1" s="189"/>
      <c r="I1" s="189"/>
      <c r="N1" s="65"/>
      <c r="O1" s="144" t="s">
        <v>89</v>
      </c>
      <c r="Q1" s="144" t="s">
        <v>89</v>
      </c>
      <c r="S1" s="144" t="s">
        <v>89</v>
      </c>
      <c r="U1" s="144" t="s">
        <v>89</v>
      </c>
    </row>
    <row r="2" spans="1:24" ht="19.899999999999999" customHeight="1" thickBot="1">
      <c r="A2" s="189"/>
      <c r="B2" s="189"/>
      <c r="C2" s="189"/>
      <c r="D2" s="189"/>
      <c r="E2" s="189"/>
      <c r="F2" s="189"/>
      <c r="G2" s="189"/>
      <c r="H2" s="189"/>
      <c r="I2" s="189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7"/>
      <c r="B3" s="148"/>
      <c r="C3" s="148"/>
      <c r="D3" s="148"/>
      <c r="E3" s="148"/>
      <c r="F3" s="148" t="s">
        <v>90</v>
      </c>
      <c r="G3" s="148"/>
      <c r="H3" s="148"/>
      <c r="I3" s="148"/>
      <c r="J3" s="200" t="s">
        <v>91</v>
      </c>
      <c r="K3" s="200"/>
      <c r="L3" s="198" t="s">
        <v>42</v>
      </c>
      <c r="M3" s="198" t="s">
        <v>0</v>
      </c>
      <c r="N3" s="194" t="s">
        <v>92</v>
      </c>
      <c r="O3" s="194"/>
      <c r="P3" s="194" t="s">
        <v>93</v>
      </c>
      <c r="Q3" s="194"/>
      <c r="R3" s="195" t="s">
        <v>94</v>
      </c>
      <c r="S3" s="195"/>
      <c r="T3" s="195" t="s">
        <v>95</v>
      </c>
      <c r="U3" s="195"/>
      <c r="V3" s="196" t="s">
        <v>96</v>
      </c>
      <c r="W3" s="192" t="s">
        <v>97</v>
      </c>
      <c r="X3" s="190" t="s">
        <v>40</v>
      </c>
    </row>
    <row r="4" spans="1:24" ht="19.899999999999999" customHeight="1">
      <c r="A4" s="68" t="s">
        <v>98</v>
      </c>
      <c r="B4" s="145"/>
      <c r="C4" s="145"/>
      <c r="D4" s="145"/>
      <c r="E4" s="145"/>
      <c r="F4" s="69" t="s">
        <v>99</v>
      </c>
      <c r="G4" s="69" t="s">
        <v>100</v>
      </c>
      <c r="H4" s="69" t="s">
        <v>101</v>
      </c>
      <c r="I4" s="69" t="s">
        <v>102</v>
      </c>
      <c r="J4" s="142" t="s">
        <v>103</v>
      </c>
      <c r="K4" s="142" t="s">
        <v>104</v>
      </c>
      <c r="L4" s="199"/>
      <c r="M4" s="199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97"/>
      <c r="W4" s="193"/>
      <c r="X4" s="191"/>
    </row>
    <row r="5" spans="1:24" s="149" customFormat="1" ht="38.1" customHeight="1">
      <c r="A5" s="72" t="str">
        <f t="shared" ref="A5:A17" si="0">F5&amp;G5&amp;H5&amp;I5</f>
        <v>M020853710050101</v>
      </c>
      <c r="B5" s="104"/>
      <c r="C5" s="104"/>
      <c r="D5" s="104"/>
      <c r="E5" s="104"/>
      <c r="F5" s="102"/>
      <c r="G5" s="73"/>
      <c r="H5" s="73" t="s">
        <v>132</v>
      </c>
      <c r="I5" s="102"/>
      <c r="J5" s="140" t="s">
        <v>133</v>
      </c>
      <c r="K5" s="140" t="s">
        <v>149</v>
      </c>
      <c r="L5" s="120" t="s">
        <v>148</v>
      </c>
      <c r="M5" s="139">
        <v>15.263</v>
      </c>
      <c r="N5" s="159">
        <v>20900</v>
      </c>
      <c r="O5" s="135">
        <f t="shared" ref="O5" si="1">SUM(N5:N5)*M5*$O$2</f>
        <v>266362.24449999997</v>
      </c>
      <c r="P5" s="134"/>
      <c r="Q5" s="135">
        <f t="shared" ref="Q5:Q15" si="2">(P5*M5)*$Q$2</f>
        <v>0</v>
      </c>
      <c r="R5" s="136"/>
      <c r="S5" s="135">
        <f t="shared" ref="S5:S17" si="3">R5*M5*$S$2</f>
        <v>0</v>
      </c>
      <c r="T5" s="136"/>
      <c r="U5" s="135">
        <f t="shared" ref="U5:U17" si="4">T5*M5*$U$2</f>
        <v>0</v>
      </c>
      <c r="V5" s="76">
        <f t="shared" ref="V5:V17" si="5">SUM(O5+Q5)+S5+U5</f>
        <v>266362.24449999997</v>
      </c>
      <c r="W5" s="119"/>
      <c r="X5" s="77"/>
    </row>
    <row r="6" spans="1:24" s="149" customFormat="1" ht="38.1" customHeight="1">
      <c r="A6" s="72" t="str">
        <f t="shared" si="0"/>
        <v>E00000803071260301</v>
      </c>
      <c r="B6" s="104"/>
      <c r="C6" s="104"/>
      <c r="D6" s="104"/>
      <c r="E6" s="104"/>
      <c r="F6" s="102"/>
      <c r="G6" s="73" t="s">
        <v>109</v>
      </c>
      <c r="H6" s="73"/>
      <c r="I6" s="102"/>
      <c r="J6" s="140" t="s">
        <v>111</v>
      </c>
      <c r="K6" s="140" t="s">
        <v>150</v>
      </c>
      <c r="L6" s="74" t="s">
        <v>110</v>
      </c>
      <c r="M6" s="139">
        <v>4.0430000000000001</v>
      </c>
      <c r="N6" s="137"/>
      <c r="O6" s="135">
        <f t="shared" ref="O6:O14" si="6">SUM(N6:N6)*M6*$O$2</f>
        <v>0</v>
      </c>
      <c r="P6" s="134">
        <v>487076</v>
      </c>
      <c r="Q6" s="135">
        <f t="shared" si="2"/>
        <v>1644322.30378</v>
      </c>
      <c r="R6" s="136"/>
      <c r="S6" s="135">
        <f t="shared" si="3"/>
        <v>0</v>
      </c>
      <c r="T6" s="136"/>
      <c r="U6" s="135">
        <f t="shared" si="4"/>
        <v>0</v>
      </c>
      <c r="V6" s="76">
        <f t="shared" si="5"/>
        <v>1644322.30378</v>
      </c>
      <c r="W6" s="119"/>
      <c r="X6" s="77"/>
    </row>
    <row r="7" spans="1:24" s="149" customFormat="1" ht="38.1" customHeight="1">
      <c r="A7" s="72" t="str">
        <f t="shared" si="0"/>
        <v>E00000803071260301</v>
      </c>
      <c r="B7" s="104"/>
      <c r="C7" s="104"/>
      <c r="D7" s="104"/>
      <c r="E7" s="104"/>
      <c r="F7" s="102"/>
      <c r="G7" s="73" t="s">
        <v>109</v>
      </c>
      <c r="H7" s="73"/>
      <c r="I7" s="102"/>
      <c r="J7" s="140" t="s">
        <v>112</v>
      </c>
      <c r="K7" s="140" t="s">
        <v>151</v>
      </c>
      <c r="L7" s="74" t="s">
        <v>110</v>
      </c>
      <c r="M7" s="139">
        <v>1.8859999999999999</v>
      </c>
      <c r="N7" s="137"/>
      <c r="O7" s="135">
        <f t="shared" si="6"/>
        <v>0</v>
      </c>
      <c r="P7" s="134">
        <v>487076</v>
      </c>
      <c r="Q7" s="135">
        <f t="shared" si="2"/>
        <v>767052.15555999987</v>
      </c>
      <c r="R7" s="136"/>
      <c r="S7" s="135">
        <f t="shared" si="3"/>
        <v>0</v>
      </c>
      <c r="T7" s="136"/>
      <c r="U7" s="135">
        <f t="shared" si="4"/>
        <v>0</v>
      </c>
      <c r="V7" s="76">
        <f t="shared" si="5"/>
        <v>767052.15555999987</v>
      </c>
      <c r="W7" s="119"/>
      <c r="X7" s="77"/>
    </row>
    <row r="8" spans="1:24" s="149" customFormat="1" ht="38.1" customHeight="1">
      <c r="A8" s="72" t="str">
        <f t="shared" si="0"/>
        <v>M020809012520101</v>
      </c>
      <c r="B8" s="104"/>
      <c r="C8" s="104"/>
      <c r="D8" s="104"/>
      <c r="E8" s="104"/>
      <c r="F8" s="102"/>
      <c r="G8" s="73"/>
      <c r="H8" s="73" t="s">
        <v>135</v>
      </c>
      <c r="I8" s="102"/>
      <c r="J8" s="140" t="s">
        <v>136</v>
      </c>
      <c r="K8" s="140" t="s">
        <v>137</v>
      </c>
      <c r="L8" s="120" t="s">
        <v>134</v>
      </c>
      <c r="M8" s="139">
        <v>61.8</v>
      </c>
      <c r="N8" s="138">
        <v>13000</v>
      </c>
      <c r="O8" s="135">
        <f t="shared" si="6"/>
        <v>670839</v>
      </c>
      <c r="P8" s="134"/>
      <c r="Q8" s="135">
        <f t="shared" si="2"/>
        <v>0</v>
      </c>
      <c r="R8" s="136"/>
      <c r="S8" s="135">
        <f t="shared" si="3"/>
        <v>0</v>
      </c>
      <c r="T8" s="136"/>
      <c r="U8" s="135">
        <f t="shared" si="4"/>
        <v>0</v>
      </c>
      <c r="V8" s="76">
        <f t="shared" si="5"/>
        <v>670839</v>
      </c>
      <c r="W8" s="119"/>
      <c r="X8" s="77"/>
    </row>
    <row r="9" spans="1:24" s="149" customFormat="1" ht="38.1" customHeight="1">
      <c r="A9" s="72" t="str">
        <f t="shared" si="0"/>
        <v>E00000803071260401</v>
      </c>
      <c r="B9" s="104"/>
      <c r="C9" s="104"/>
      <c r="D9" s="104"/>
      <c r="E9" s="104"/>
      <c r="F9" s="102"/>
      <c r="G9" s="73" t="s">
        <v>113</v>
      </c>
      <c r="H9" s="73"/>
      <c r="I9" s="102"/>
      <c r="J9" s="140" t="s">
        <v>114</v>
      </c>
      <c r="K9" s="140" t="s">
        <v>152</v>
      </c>
      <c r="L9" s="74" t="s">
        <v>110</v>
      </c>
      <c r="M9" s="139">
        <v>1.0132000000000001</v>
      </c>
      <c r="N9" s="137"/>
      <c r="O9" s="135">
        <f t="shared" si="6"/>
        <v>0</v>
      </c>
      <c r="P9" s="134">
        <v>487076</v>
      </c>
      <c r="Q9" s="135">
        <f t="shared" si="2"/>
        <v>412077.01167200005</v>
      </c>
      <c r="R9" s="136"/>
      <c r="S9" s="135">
        <f t="shared" si="3"/>
        <v>0</v>
      </c>
      <c r="T9" s="136"/>
      <c r="U9" s="135">
        <f t="shared" si="4"/>
        <v>0</v>
      </c>
      <c r="V9" s="76">
        <f t="shared" si="5"/>
        <v>412077.01167200005</v>
      </c>
      <c r="W9" s="119"/>
      <c r="X9" s="77"/>
    </row>
    <row r="10" spans="1:24" s="149" customFormat="1" ht="38.1" customHeight="1">
      <c r="A10" s="72" t="str">
        <f t="shared" si="0"/>
        <v>M020412614110102</v>
      </c>
      <c r="B10" s="104"/>
      <c r="C10" s="104"/>
      <c r="D10" s="104"/>
      <c r="E10" s="104"/>
      <c r="F10" s="102"/>
      <c r="G10" s="73"/>
      <c r="H10" s="160" t="s">
        <v>128</v>
      </c>
      <c r="I10" s="102"/>
      <c r="J10" s="161" t="s">
        <v>127</v>
      </c>
      <c r="K10" s="161" t="s">
        <v>125</v>
      </c>
      <c r="L10" s="132" t="s">
        <v>124</v>
      </c>
      <c r="M10" s="139">
        <v>0.3</v>
      </c>
      <c r="N10" s="162">
        <v>65500</v>
      </c>
      <c r="O10" s="135">
        <f t="shared" si="6"/>
        <v>16407.75</v>
      </c>
      <c r="P10" s="134"/>
      <c r="Q10" s="135"/>
      <c r="R10" s="136"/>
      <c r="S10" s="135"/>
      <c r="T10" s="136"/>
      <c r="U10" s="135"/>
      <c r="V10" s="76">
        <f t="shared" si="5"/>
        <v>16407.75</v>
      </c>
      <c r="W10" s="119"/>
      <c r="X10" s="77"/>
    </row>
    <row r="11" spans="1:24" s="149" customFormat="1" ht="38.1" customHeight="1">
      <c r="A11" s="72" t="str">
        <f t="shared" si="0"/>
        <v>E00000803061120402</v>
      </c>
      <c r="B11" s="104"/>
      <c r="C11" s="104"/>
      <c r="D11" s="104"/>
      <c r="E11" s="104"/>
      <c r="F11" s="102"/>
      <c r="G11" s="73" t="s">
        <v>115</v>
      </c>
      <c r="H11" s="73"/>
      <c r="I11" s="102"/>
      <c r="J11" s="140" t="s">
        <v>116</v>
      </c>
      <c r="K11" s="140" t="s">
        <v>117</v>
      </c>
      <c r="L11" s="120" t="s">
        <v>122</v>
      </c>
      <c r="M11" s="139">
        <v>28</v>
      </c>
      <c r="N11" s="121"/>
      <c r="O11" s="75">
        <f t="shared" si="6"/>
        <v>0</v>
      </c>
      <c r="P11" s="131">
        <v>10432</v>
      </c>
      <c r="Q11" s="75">
        <f t="shared" si="2"/>
        <v>243900.16</v>
      </c>
      <c r="R11" s="76"/>
      <c r="S11" s="75">
        <f t="shared" si="3"/>
        <v>0</v>
      </c>
      <c r="T11" s="76"/>
      <c r="U11" s="75">
        <f t="shared" si="4"/>
        <v>0</v>
      </c>
      <c r="V11" s="76">
        <f t="shared" si="5"/>
        <v>243900.16</v>
      </c>
      <c r="W11" s="119"/>
      <c r="X11" s="77"/>
    </row>
    <row r="12" spans="1:24" s="149" customFormat="1" ht="38.1" customHeight="1">
      <c r="A12" s="72" t="str">
        <f t="shared" si="0"/>
        <v>E00000803061300201</v>
      </c>
      <c r="B12" s="104"/>
      <c r="C12" s="104"/>
      <c r="D12" s="104"/>
      <c r="E12" s="104"/>
      <c r="F12" s="102"/>
      <c r="G12" s="73" t="s">
        <v>119</v>
      </c>
      <c r="H12" s="73"/>
      <c r="I12" s="102"/>
      <c r="J12" s="140" t="s">
        <v>120</v>
      </c>
      <c r="K12" s="140" t="s">
        <v>121</v>
      </c>
      <c r="L12" s="120" t="s">
        <v>118</v>
      </c>
      <c r="M12" s="139">
        <v>28</v>
      </c>
      <c r="N12" s="121"/>
      <c r="O12" s="75">
        <f t="shared" si="6"/>
        <v>0</v>
      </c>
      <c r="P12" s="131">
        <v>6179</v>
      </c>
      <c r="Q12" s="75">
        <f t="shared" si="2"/>
        <v>144465.01999999999</v>
      </c>
      <c r="R12" s="76"/>
      <c r="S12" s="75">
        <f t="shared" si="3"/>
        <v>0</v>
      </c>
      <c r="T12" s="76"/>
      <c r="U12" s="75">
        <f t="shared" si="4"/>
        <v>0</v>
      </c>
      <c r="V12" s="76">
        <f t="shared" si="5"/>
        <v>144465.01999999999</v>
      </c>
      <c r="W12" s="119"/>
      <c r="X12" s="77"/>
    </row>
    <row r="13" spans="1:24" s="149" customFormat="1" ht="38.1" customHeight="1">
      <c r="A13" s="72" t="str">
        <f t="shared" si="0"/>
        <v>E00000801011510701</v>
      </c>
      <c r="B13" s="104"/>
      <c r="C13" s="104"/>
      <c r="D13" s="104"/>
      <c r="E13" s="104"/>
      <c r="F13" s="102"/>
      <c r="G13" s="73" t="s">
        <v>147</v>
      </c>
      <c r="H13" s="73"/>
      <c r="I13" s="102"/>
      <c r="J13" s="150" t="s">
        <v>138</v>
      </c>
      <c r="K13" s="150" t="s">
        <v>139</v>
      </c>
      <c r="L13" s="120" t="s">
        <v>140</v>
      </c>
      <c r="M13" s="139">
        <v>96</v>
      </c>
      <c r="N13" s="151"/>
      <c r="O13" s="75">
        <f t="shared" si="6"/>
        <v>0</v>
      </c>
      <c r="P13" s="163">
        <v>4966</v>
      </c>
      <c r="Q13" s="75">
        <f t="shared" si="2"/>
        <v>398074.56</v>
      </c>
      <c r="R13" s="76"/>
      <c r="S13" s="75">
        <f t="shared" si="3"/>
        <v>0</v>
      </c>
      <c r="T13" s="76"/>
      <c r="U13" s="75">
        <f t="shared" si="4"/>
        <v>0</v>
      </c>
      <c r="V13" s="76">
        <f t="shared" si="5"/>
        <v>398074.56</v>
      </c>
      <c r="W13" s="119"/>
      <c r="X13" s="77"/>
    </row>
    <row r="14" spans="1:24" s="149" customFormat="1" ht="38.1" customHeight="1">
      <c r="A14" s="72" t="str">
        <f t="shared" si="0"/>
        <v>M020450310340103</v>
      </c>
      <c r="B14" s="104"/>
      <c r="C14" s="104"/>
      <c r="D14" s="104"/>
      <c r="E14" s="104"/>
      <c r="F14" s="172"/>
      <c r="G14" s="173"/>
      <c r="H14" s="174" t="s">
        <v>164</v>
      </c>
      <c r="I14" s="172"/>
      <c r="J14" s="175" t="s">
        <v>165</v>
      </c>
      <c r="K14" s="175" t="s">
        <v>166</v>
      </c>
      <c r="L14" s="176" t="s">
        <v>167</v>
      </c>
      <c r="M14" s="139">
        <v>4</v>
      </c>
      <c r="N14" s="177">
        <v>36500</v>
      </c>
      <c r="O14" s="135">
        <f t="shared" si="6"/>
        <v>121910</v>
      </c>
      <c r="P14" s="134"/>
      <c r="Q14" s="75">
        <f t="shared" si="2"/>
        <v>0</v>
      </c>
      <c r="R14" s="76"/>
      <c r="S14" s="75">
        <f t="shared" si="3"/>
        <v>0</v>
      </c>
      <c r="T14" s="76"/>
      <c r="U14" s="75">
        <f t="shared" si="4"/>
        <v>0</v>
      </c>
      <c r="V14" s="76">
        <f t="shared" si="5"/>
        <v>121910</v>
      </c>
      <c r="W14" s="119"/>
      <c r="X14" s="77"/>
    </row>
    <row r="15" spans="1:24" s="149" customFormat="1" ht="38.1" customHeight="1">
      <c r="A15" s="72" t="str">
        <f t="shared" si="0"/>
        <v>M020251411670101</v>
      </c>
      <c r="B15" s="104"/>
      <c r="C15" s="104"/>
      <c r="D15" s="104"/>
      <c r="E15" s="104"/>
      <c r="F15" s="178"/>
      <c r="G15" s="179"/>
      <c r="H15" s="174" t="s">
        <v>168</v>
      </c>
      <c r="I15" s="172"/>
      <c r="J15" s="175" t="s">
        <v>169</v>
      </c>
      <c r="K15" s="180" t="s">
        <v>170</v>
      </c>
      <c r="L15" s="175" t="s">
        <v>171</v>
      </c>
      <c r="M15" s="139">
        <v>2</v>
      </c>
      <c r="N15" s="177">
        <v>5000</v>
      </c>
      <c r="O15" s="135">
        <f t="shared" ref="O15" si="7">SUM(N15:N15)*M15*$O$2</f>
        <v>8350</v>
      </c>
      <c r="P15" s="134"/>
      <c r="Q15" s="75">
        <f t="shared" si="2"/>
        <v>0</v>
      </c>
      <c r="R15" s="76"/>
      <c r="S15" s="75">
        <f t="shared" si="3"/>
        <v>0</v>
      </c>
      <c r="T15" s="76"/>
      <c r="U15" s="75">
        <f t="shared" si="4"/>
        <v>0</v>
      </c>
      <c r="V15" s="76">
        <f t="shared" si="5"/>
        <v>8350</v>
      </c>
      <c r="W15" s="119"/>
      <c r="X15" s="77"/>
    </row>
    <row r="16" spans="1:24" s="149" customFormat="1" ht="38.1" customHeight="1">
      <c r="A16" s="72" t="str">
        <f t="shared" si="0"/>
        <v>L002</v>
      </c>
      <c r="B16" s="104"/>
      <c r="C16" s="104"/>
      <c r="D16" s="104"/>
      <c r="E16" s="104"/>
      <c r="F16" s="172"/>
      <c r="G16" s="173"/>
      <c r="H16" s="173"/>
      <c r="I16" s="102" t="s">
        <v>172</v>
      </c>
      <c r="J16" s="181" t="s">
        <v>173</v>
      </c>
      <c r="K16" s="140" t="s">
        <v>161</v>
      </c>
      <c r="L16" s="120" t="s">
        <v>174</v>
      </c>
      <c r="M16" s="139">
        <v>1</v>
      </c>
      <c r="N16" s="137"/>
      <c r="O16" s="135">
        <f t="shared" ref="O16" si="8">SUM(N16:N16)*M16*$O$2</f>
        <v>0</v>
      </c>
      <c r="P16" s="134">
        <v>167081</v>
      </c>
      <c r="Q16" s="135">
        <f t="shared" ref="Q16:Q17" si="9">M16*P16</f>
        <v>167081</v>
      </c>
      <c r="R16" s="136"/>
      <c r="S16" s="135">
        <f t="shared" si="3"/>
        <v>0</v>
      </c>
      <c r="T16" s="136"/>
      <c r="U16" s="135">
        <f t="shared" si="4"/>
        <v>0</v>
      </c>
      <c r="V16" s="76">
        <f t="shared" si="5"/>
        <v>167081</v>
      </c>
      <c r="W16" s="119"/>
      <c r="X16" s="77"/>
    </row>
    <row r="17" spans="1:24" s="149" customFormat="1" ht="68.25" customHeight="1">
      <c r="A17" s="72" t="str">
        <f t="shared" si="0"/>
        <v>L003</v>
      </c>
      <c r="B17" s="104"/>
      <c r="C17" s="104"/>
      <c r="D17" s="104"/>
      <c r="E17" s="104"/>
      <c r="F17" s="172"/>
      <c r="G17" s="173"/>
      <c r="H17" s="173"/>
      <c r="I17" s="102" t="s">
        <v>175</v>
      </c>
      <c r="J17" s="181" t="s">
        <v>176</v>
      </c>
      <c r="K17" s="140" t="s">
        <v>180</v>
      </c>
      <c r="L17" s="120" t="s">
        <v>174</v>
      </c>
      <c r="M17" s="139">
        <v>2</v>
      </c>
      <c r="N17" s="137"/>
      <c r="O17" s="135">
        <f t="shared" ref="O17" si="10">SUM(N17:N17)*M17*$O$2</f>
        <v>0</v>
      </c>
      <c r="P17" s="134">
        <v>219321</v>
      </c>
      <c r="Q17" s="135">
        <f t="shared" si="9"/>
        <v>438642</v>
      </c>
      <c r="R17" s="136"/>
      <c r="S17" s="135">
        <f t="shared" si="3"/>
        <v>0</v>
      </c>
      <c r="T17" s="136"/>
      <c r="U17" s="135">
        <f t="shared" si="4"/>
        <v>0</v>
      </c>
      <c r="V17" s="76">
        <f t="shared" si="5"/>
        <v>438642</v>
      </c>
      <c r="W17" s="119"/>
      <c r="X17" s="77"/>
    </row>
    <row r="18" spans="1:24" s="157" customFormat="1" ht="38.1" customHeight="1">
      <c r="A18" s="152"/>
      <c r="B18" s="153"/>
      <c r="C18" s="153"/>
      <c r="D18" s="153"/>
      <c r="E18" s="153"/>
      <c r="F18" s="153"/>
      <c r="G18" s="153"/>
      <c r="H18" s="153"/>
      <c r="I18" s="153"/>
      <c r="J18" s="143"/>
      <c r="K18" s="143"/>
      <c r="L18" s="153"/>
      <c r="M18" s="153"/>
      <c r="N18" s="153"/>
      <c r="O18" s="154">
        <f>SUM(O5:O17)</f>
        <v>1083868.9945</v>
      </c>
      <c r="P18" s="155"/>
      <c r="Q18" s="154">
        <f>SUM(Q5:Q17)</f>
        <v>4215614.2110120002</v>
      </c>
      <c r="R18" s="155"/>
      <c r="S18" s="154">
        <f>SUM(S5:S17)</f>
        <v>0</v>
      </c>
      <c r="T18" s="155"/>
      <c r="U18" s="154">
        <f>SUM(U5:U17)</f>
        <v>0</v>
      </c>
      <c r="V18" s="156">
        <f>SUM(V5:V17)</f>
        <v>5299483.2055119993</v>
      </c>
      <c r="W18" s="107"/>
      <c r="X18" s="15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4"/>
  <sheetViews>
    <sheetView topLeftCell="A12" zoomScaleNormal="100" workbookViewId="0">
      <selection activeCell="P19" sqref="P19"/>
    </sheetView>
  </sheetViews>
  <sheetFormatPr defaultColWidth="9" defaultRowHeight="14.2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203" t="s">
        <v>54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spans="1:15" ht="15" customHeight="1">
      <c r="A2" s="204" t="s">
        <v>55</v>
      </c>
      <c r="B2" s="205" t="s">
        <v>56</v>
      </c>
      <c r="C2" s="206" t="s">
        <v>42</v>
      </c>
      <c r="D2" s="206" t="s">
        <v>57</v>
      </c>
      <c r="E2" s="208" t="s">
        <v>58</v>
      </c>
      <c r="F2" s="205"/>
      <c r="G2" s="205" t="s">
        <v>59</v>
      </c>
      <c r="H2" s="205"/>
      <c r="I2" s="209" t="s">
        <v>60</v>
      </c>
      <c r="J2" s="210"/>
      <c r="K2" s="209" t="s">
        <v>61</v>
      </c>
      <c r="L2" s="210"/>
      <c r="M2" s="208" t="s">
        <v>62</v>
      </c>
      <c r="N2" s="205"/>
      <c r="O2" s="211" t="s">
        <v>63</v>
      </c>
    </row>
    <row r="3" spans="1:15" ht="15" customHeight="1">
      <c r="A3" s="204"/>
      <c r="B3" s="205"/>
      <c r="C3" s="207"/>
      <c r="D3" s="207"/>
      <c r="E3" s="130" t="s">
        <v>64</v>
      </c>
      <c r="F3" s="130" t="s">
        <v>65</v>
      </c>
      <c r="G3" s="79" t="s">
        <v>64</v>
      </c>
      <c r="H3" s="130" t="s">
        <v>66</v>
      </c>
      <c r="I3" s="130"/>
      <c r="J3" s="130"/>
      <c r="K3" s="79" t="s">
        <v>64</v>
      </c>
      <c r="L3" s="130" t="s">
        <v>66</v>
      </c>
      <c r="M3" s="79" t="s">
        <v>64</v>
      </c>
      <c r="N3" s="130" t="s">
        <v>66</v>
      </c>
      <c r="O3" s="212"/>
    </row>
    <row r="4" spans="1:15" ht="15" customHeight="1">
      <c r="A4" s="201" t="s">
        <v>153</v>
      </c>
      <c r="B4" s="20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2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215" t="s">
        <v>129</v>
      </c>
    </row>
    <row r="6" spans="1:15" ht="15" customHeight="1">
      <c r="A6" s="22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216"/>
    </row>
    <row r="7" spans="1:15" ht="15" customHeight="1">
      <c r="A7" s="22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216"/>
    </row>
    <row r="8" spans="1:15" ht="15" customHeight="1">
      <c r="A8" s="22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216"/>
    </row>
    <row r="9" spans="1:15" ht="15" customHeight="1">
      <c r="A9" s="22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216"/>
    </row>
    <row r="10" spans="1:15" ht="15" customHeight="1">
      <c r="A10" s="22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216"/>
    </row>
    <row r="11" spans="1:15" ht="15" customHeight="1">
      <c r="A11" s="22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216"/>
    </row>
    <row r="12" spans="1:15" ht="15" customHeight="1">
      <c r="A12" s="22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216"/>
    </row>
    <row r="13" spans="1:15" ht="15" customHeight="1">
      <c r="A13" s="108" t="s">
        <v>77</v>
      </c>
      <c r="B13" s="109"/>
      <c r="C13" s="110"/>
      <c r="D13" s="111"/>
      <c r="E13" s="112"/>
      <c r="F13" s="112">
        <f>SUM(F5:F12)</f>
        <v>266364</v>
      </c>
      <c r="G13" s="112"/>
      <c r="H13" s="112">
        <f>SUM(H5:H12)</f>
        <v>2410969.8000000003</v>
      </c>
      <c r="I13" s="112"/>
      <c r="J13" s="112">
        <f>SUM(J5:J12)</f>
        <v>0</v>
      </c>
      <c r="K13" s="112"/>
      <c r="L13" s="112">
        <f>SUM(L5:L12)</f>
        <v>0</v>
      </c>
      <c r="M13" s="112"/>
      <c r="N13" s="112">
        <f>SUM(N5:N12)</f>
        <v>2677333.8000000003</v>
      </c>
      <c r="O13" s="112"/>
    </row>
    <row r="14" spans="1:15" ht="15" customHeight="1">
      <c r="A14" s="21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2">
        <f>D14*E14</f>
        <v>360386.00000000006</v>
      </c>
      <c r="G14" s="84">
        <v>6668.1</v>
      </c>
      <c r="H14" s="122">
        <f>D14*G14</f>
        <v>221380.92000000004</v>
      </c>
      <c r="I14" s="122"/>
      <c r="J14" s="122"/>
      <c r="K14" s="84"/>
      <c r="L14" s="122"/>
      <c r="M14" s="84"/>
      <c r="N14" s="122">
        <f t="shared" ref="N14:N17" si="3">F14+H14+J14+L14</f>
        <v>581766.92000000016</v>
      </c>
      <c r="O14" s="216"/>
    </row>
    <row r="15" spans="1:15" ht="15" customHeight="1">
      <c r="A15" s="217"/>
      <c r="B15" s="81" t="s">
        <v>79</v>
      </c>
      <c r="C15" s="82" t="s">
        <v>69</v>
      </c>
      <c r="D15" s="123">
        <v>11.7</v>
      </c>
      <c r="E15" s="84">
        <v>10855</v>
      </c>
      <c r="F15" s="122">
        <f>D15*E15</f>
        <v>127003.49999999999</v>
      </c>
      <c r="G15" s="84">
        <v>6668.1</v>
      </c>
      <c r="H15" s="122">
        <f>D15*G15</f>
        <v>78016.77</v>
      </c>
      <c r="I15" s="122"/>
      <c r="J15" s="122"/>
      <c r="K15" s="84"/>
      <c r="L15" s="122"/>
      <c r="M15" s="84"/>
      <c r="N15" s="122">
        <f t="shared" si="3"/>
        <v>205020.27</v>
      </c>
      <c r="O15" s="216"/>
    </row>
    <row r="16" spans="1:15" ht="15" customHeight="1">
      <c r="A16" s="217"/>
      <c r="B16" s="81" t="s">
        <v>80</v>
      </c>
      <c r="C16" s="82" t="s">
        <v>69</v>
      </c>
      <c r="D16" s="123">
        <v>8.5</v>
      </c>
      <c r="E16" s="84">
        <v>10855</v>
      </c>
      <c r="F16" s="122">
        <f>D16*E16</f>
        <v>92267.5</v>
      </c>
      <c r="G16" s="84">
        <v>6668.1</v>
      </c>
      <c r="H16" s="122">
        <f>D16*G16</f>
        <v>56678.850000000006</v>
      </c>
      <c r="I16" s="122"/>
      <c r="J16" s="122"/>
      <c r="K16" s="84"/>
      <c r="L16" s="122"/>
      <c r="M16" s="84"/>
      <c r="N16" s="122">
        <f t="shared" si="3"/>
        <v>148946.35</v>
      </c>
      <c r="O16" s="216"/>
    </row>
    <row r="17" spans="1:15" ht="15" customHeight="1">
      <c r="A17" s="218"/>
      <c r="B17" s="81" t="s">
        <v>81</v>
      </c>
      <c r="C17" s="82" t="s">
        <v>69</v>
      </c>
      <c r="D17" s="123">
        <v>8.4</v>
      </c>
      <c r="E17" s="84">
        <v>10855</v>
      </c>
      <c r="F17" s="122">
        <f>D17*E17</f>
        <v>91182</v>
      </c>
      <c r="G17" s="84">
        <v>6668.1</v>
      </c>
      <c r="H17" s="122">
        <f>D17*G17</f>
        <v>56012.040000000008</v>
      </c>
      <c r="I17" s="122"/>
      <c r="J17" s="122"/>
      <c r="K17" s="84"/>
      <c r="L17" s="122"/>
      <c r="M17" s="84"/>
      <c r="N17" s="122">
        <f t="shared" si="3"/>
        <v>147194.04</v>
      </c>
      <c r="O17" s="219"/>
    </row>
    <row r="18" spans="1:15" ht="15" customHeight="1">
      <c r="A18" s="103" t="s">
        <v>77</v>
      </c>
      <c r="B18" s="86"/>
      <c r="C18" s="90"/>
      <c r="D18" s="124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5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5" t="s">
        <v>126</v>
      </c>
      <c r="B20" s="133" t="s">
        <v>125</v>
      </c>
      <c r="C20" s="133" t="s">
        <v>124</v>
      </c>
      <c r="D20" s="113">
        <v>0.3</v>
      </c>
      <c r="E20" s="84">
        <v>54693</v>
      </c>
      <c r="F20" s="122">
        <f>D20*E20</f>
        <v>16407.899999999998</v>
      </c>
      <c r="G20" s="84"/>
      <c r="H20" s="84"/>
      <c r="I20" s="84"/>
      <c r="J20" s="84"/>
      <c r="K20" s="84"/>
      <c r="L20" s="84"/>
      <c r="M20" s="84"/>
      <c r="N20" s="126">
        <f t="shared" ref="N20:N24" si="4">F20+H20+J20+L20</f>
        <v>16407.899999999998</v>
      </c>
      <c r="O20" s="84"/>
    </row>
    <row r="21" spans="1:15" ht="15" customHeight="1">
      <c r="A21" s="220" t="s">
        <v>83</v>
      </c>
      <c r="B21" s="91" t="s">
        <v>84</v>
      </c>
      <c r="C21" s="92" t="s">
        <v>69</v>
      </c>
      <c r="D21" s="93">
        <v>17</v>
      </c>
      <c r="E21" s="126"/>
      <c r="F21" s="126">
        <f>D21*E21</f>
        <v>0</v>
      </c>
      <c r="G21" s="126">
        <v>8711</v>
      </c>
      <c r="H21" s="126">
        <f t="shared" ref="H21:H24" si="5">D21*G21</f>
        <v>148087</v>
      </c>
      <c r="I21" s="126"/>
      <c r="J21" s="126"/>
      <c r="K21" s="126"/>
      <c r="L21" s="126"/>
      <c r="M21" s="126"/>
      <c r="N21" s="126">
        <f t="shared" si="4"/>
        <v>148087</v>
      </c>
      <c r="O21" s="84"/>
    </row>
    <row r="22" spans="1:15" ht="15" customHeight="1">
      <c r="A22" s="220"/>
      <c r="B22" s="91" t="s">
        <v>85</v>
      </c>
      <c r="C22" s="92" t="s">
        <v>69</v>
      </c>
      <c r="D22" s="93">
        <v>17</v>
      </c>
      <c r="E22" s="126"/>
      <c r="F22" s="126">
        <f t="shared" ref="F22" si="6">D22*E22</f>
        <v>0</v>
      </c>
      <c r="G22" s="126">
        <v>5159</v>
      </c>
      <c r="H22" s="126">
        <f t="shared" si="5"/>
        <v>87703</v>
      </c>
      <c r="I22" s="126"/>
      <c r="J22" s="126"/>
      <c r="K22" s="126"/>
      <c r="L22" s="126"/>
      <c r="M22" s="126"/>
      <c r="N22" s="126">
        <f t="shared" si="4"/>
        <v>87703</v>
      </c>
      <c r="O22" s="84"/>
    </row>
    <row r="23" spans="1:15" ht="15" customHeight="1">
      <c r="A23" s="220" t="s">
        <v>86</v>
      </c>
      <c r="B23" s="91" t="s">
        <v>84</v>
      </c>
      <c r="C23" s="92" t="s">
        <v>69</v>
      </c>
      <c r="D23" s="93">
        <v>11</v>
      </c>
      <c r="E23" s="126"/>
      <c r="F23" s="126">
        <f>D23*E23</f>
        <v>0</v>
      </c>
      <c r="G23" s="126">
        <v>8711</v>
      </c>
      <c r="H23" s="126">
        <f t="shared" si="5"/>
        <v>95821</v>
      </c>
      <c r="I23" s="126"/>
      <c r="J23" s="126"/>
      <c r="K23" s="126"/>
      <c r="L23" s="126"/>
      <c r="M23" s="126"/>
      <c r="N23" s="126">
        <f t="shared" si="4"/>
        <v>95821</v>
      </c>
      <c r="O23" s="84"/>
    </row>
    <row r="24" spans="1:15" ht="15" customHeight="1">
      <c r="A24" s="220"/>
      <c r="B24" s="91" t="s">
        <v>85</v>
      </c>
      <c r="C24" s="92" t="s">
        <v>69</v>
      </c>
      <c r="D24" s="93">
        <v>11</v>
      </c>
      <c r="E24" s="126"/>
      <c r="F24" s="126">
        <f t="shared" ref="F24" si="7">D24*E24</f>
        <v>0</v>
      </c>
      <c r="G24" s="126">
        <v>5159</v>
      </c>
      <c r="H24" s="126">
        <f t="shared" si="5"/>
        <v>56749</v>
      </c>
      <c r="I24" s="126"/>
      <c r="J24" s="126"/>
      <c r="K24" s="126"/>
      <c r="L24" s="126"/>
      <c r="M24" s="126"/>
      <c r="N24" s="126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6" t="s">
        <v>87</v>
      </c>
      <c r="B26" s="81" t="s">
        <v>141</v>
      </c>
      <c r="C26" s="82" t="s">
        <v>69</v>
      </c>
      <c r="D26" s="127">
        <v>96</v>
      </c>
      <c r="E26" s="122"/>
      <c r="F26" s="122"/>
      <c r="G26" s="84">
        <v>4147</v>
      </c>
      <c r="H26" s="122">
        <f>D26*G26</f>
        <v>398112</v>
      </c>
      <c r="I26" s="122"/>
      <c r="J26" s="122"/>
      <c r="K26" s="122"/>
      <c r="L26" s="122"/>
      <c r="M26" s="122"/>
      <c r="N26" s="122">
        <f>F26+H26+J26+L26</f>
        <v>398112</v>
      </c>
      <c r="O26" s="96" t="s">
        <v>88</v>
      </c>
    </row>
    <row r="27" spans="1:15" ht="15" customHeight="1">
      <c r="A27" s="103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64" t="s">
        <v>154</v>
      </c>
      <c r="B28" s="91"/>
      <c r="C28" s="92"/>
      <c r="D28" s="127"/>
      <c r="E28" s="84"/>
      <c r="F28" s="84"/>
      <c r="G28" s="84"/>
      <c r="H28" s="165"/>
      <c r="I28" s="84"/>
      <c r="J28" s="165"/>
      <c r="K28" s="165"/>
      <c r="L28" s="165"/>
      <c r="M28" s="165"/>
      <c r="N28" s="165"/>
      <c r="O28" s="84"/>
    </row>
    <row r="29" spans="1:15" ht="15" customHeight="1">
      <c r="A29" s="125" t="s">
        <v>155</v>
      </c>
      <c r="B29" s="91" t="s">
        <v>156</v>
      </c>
      <c r="C29" s="92" t="s">
        <v>157</v>
      </c>
      <c r="D29" s="127">
        <v>4</v>
      </c>
      <c r="E29" s="84">
        <v>30478</v>
      </c>
      <c r="F29" s="166">
        <f>D29*E29</f>
        <v>121912</v>
      </c>
      <c r="G29" s="167"/>
      <c r="H29" s="166">
        <f t="shared" ref="H29:H32" si="9">D29*G29</f>
        <v>0</v>
      </c>
      <c r="I29" s="168"/>
      <c r="J29" s="168"/>
      <c r="K29" s="168"/>
      <c r="L29" s="168"/>
      <c r="M29" s="168"/>
      <c r="N29" s="122">
        <f t="shared" ref="N29:N32" si="10">F29+H29+J29+L29</f>
        <v>121912</v>
      </c>
      <c r="O29" s="84"/>
    </row>
    <row r="30" spans="1:15" ht="21.75" customHeight="1">
      <c r="A30" s="213" t="s">
        <v>158</v>
      </c>
      <c r="B30" s="169" t="s">
        <v>159</v>
      </c>
      <c r="C30" s="170" t="s">
        <v>160</v>
      </c>
      <c r="D30" s="170">
        <v>2</v>
      </c>
      <c r="E30" s="166">
        <v>4175</v>
      </c>
      <c r="F30" s="166">
        <f>D30*E30</f>
        <v>8350</v>
      </c>
      <c r="G30" s="167"/>
      <c r="H30" s="166">
        <f t="shared" si="9"/>
        <v>0</v>
      </c>
      <c r="I30" s="168"/>
      <c r="J30" s="168"/>
      <c r="K30" s="168"/>
      <c r="L30" s="168"/>
      <c r="M30" s="168"/>
      <c r="N30" s="122">
        <f t="shared" si="10"/>
        <v>8350</v>
      </c>
      <c r="O30" s="84"/>
    </row>
    <row r="31" spans="1:15" ht="15" customHeight="1">
      <c r="A31" s="214"/>
      <c r="B31" s="170" t="s">
        <v>161</v>
      </c>
      <c r="C31" s="170" t="s">
        <v>162</v>
      </c>
      <c r="D31" s="170">
        <v>1</v>
      </c>
      <c r="E31" s="166"/>
      <c r="F31" s="166"/>
      <c r="G31" s="167">
        <v>167081</v>
      </c>
      <c r="H31" s="166">
        <f t="shared" si="9"/>
        <v>167081</v>
      </c>
      <c r="I31" s="168"/>
      <c r="J31" s="168"/>
      <c r="K31" s="168"/>
      <c r="L31" s="168"/>
      <c r="M31" s="168"/>
      <c r="N31" s="122">
        <f t="shared" si="10"/>
        <v>167081</v>
      </c>
      <c r="O31" s="84"/>
    </row>
    <row r="32" spans="1:15" ht="44.25" customHeight="1">
      <c r="A32" s="171" t="s">
        <v>163</v>
      </c>
      <c r="B32" s="182" t="s">
        <v>179</v>
      </c>
      <c r="C32" s="170" t="s">
        <v>162</v>
      </c>
      <c r="D32" s="170">
        <v>2</v>
      </c>
      <c r="E32" s="166"/>
      <c r="F32" s="166"/>
      <c r="G32" s="167">
        <v>219321</v>
      </c>
      <c r="H32" s="166">
        <f t="shared" si="9"/>
        <v>438642</v>
      </c>
      <c r="I32" s="168"/>
      <c r="J32" s="168"/>
      <c r="K32" s="168"/>
      <c r="L32" s="168"/>
      <c r="M32" s="168"/>
      <c r="N32" s="122">
        <f t="shared" si="10"/>
        <v>438642</v>
      </c>
      <c r="O32" s="84"/>
    </row>
    <row r="33" spans="1:15" ht="15" customHeight="1">
      <c r="A33" s="103" t="s">
        <v>77</v>
      </c>
      <c r="B33" s="94"/>
      <c r="C33" s="95"/>
      <c r="D33" s="88"/>
      <c r="E33" s="89"/>
      <c r="F33" s="89">
        <f>SUM(F29:F32)</f>
        <v>130262</v>
      </c>
      <c r="G33" s="89"/>
      <c r="H33" s="89">
        <f>SUM(H29:H32)</f>
        <v>605723</v>
      </c>
      <c r="I33" s="89"/>
      <c r="J33" s="89">
        <f>SUM(J31:J32)</f>
        <v>0</v>
      </c>
      <c r="K33" s="89"/>
      <c r="L33" s="89">
        <f>SUM(L31:L32)</f>
        <v>0</v>
      </c>
      <c r="M33" s="89"/>
      <c r="N33" s="89">
        <f>SUM(N29:N32)</f>
        <v>735985</v>
      </c>
      <c r="O33" s="89"/>
    </row>
    <row r="34" spans="1:15" ht="15" customHeight="1">
      <c r="A34" s="103" t="s">
        <v>123</v>
      </c>
      <c r="B34" s="86"/>
      <c r="C34" s="87"/>
      <c r="D34" s="97"/>
      <c r="E34" s="99"/>
      <c r="F34" s="100">
        <f>F13+F18+F25+F27+F33</f>
        <v>1083872.8999999999</v>
      </c>
      <c r="G34" s="100"/>
      <c r="H34" s="100">
        <f>H13+H18+H25+H27+H33</f>
        <v>4215253.3800000008</v>
      </c>
      <c r="I34" s="99"/>
      <c r="J34" s="100">
        <f>J13+J18+J25+J27</f>
        <v>0</v>
      </c>
      <c r="K34" s="99"/>
      <c r="L34" s="100">
        <f>L13+L18+L25+L27</f>
        <v>0</v>
      </c>
      <c r="M34" s="99"/>
      <c r="N34" s="100">
        <f>N13+N18+N25+N27+N33</f>
        <v>5299126.28</v>
      </c>
      <c r="O34" s="99"/>
    </row>
  </sheetData>
  <mergeCells count="19">
    <mergeCell ref="A30:A31"/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4"/>
  <sheetViews>
    <sheetView showGridLines="0" zoomScaleNormal="100" workbookViewId="0">
      <selection activeCell="C32" sqref="C32"/>
    </sheetView>
  </sheetViews>
  <sheetFormatPr defaultColWidth="9" defaultRowHeight="14.25"/>
  <cols>
    <col min="1" max="1" width="25.125" style="118" customWidth="1"/>
    <col min="2" max="2" width="16.25" style="118" customWidth="1"/>
    <col min="3" max="3" width="22.375" style="118" customWidth="1"/>
    <col min="4" max="4" width="24.125" style="118" customWidth="1"/>
    <col min="5" max="5" width="13" style="118" customWidth="1"/>
    <col min="6" max="6" width="9" style="118" customWidth="1"/>
    <col min="7" max="16384" width="9" style="78"/>
  </cols>
  <sheetData>
    <row r="1" spans="1:6" ht="18" customHeight="1">
      <c r="A1" s="114" t="s">
        <v>142</v>
      </c>
      <c r="B1" s="114" t="s">
        <v>143</v>
      </c>
      <c r="C1" s="114" t="s">
        <v>144</v>
      </c>
      <c r="D1" s="114" t="s">
        <v>145</v>
      </c>
      <c r="E1" s="114" t="s">
        <v>146</v>
      </c>
      <c r="F1" s="114" t="s">
        <v>0</v>
      </c>
    </row>
    <row r="2" spans="1:6">
      <c r="A2" s="115" t="str">
        <f>'내역서(표준단가)'!A5</f>
        <v>M020853710050101</v>
      </c>
      <c r="B2" s="116">
        <f>'내역서(표준단가)'!F5</f>
        <v>0</v>
      </c>
      <c r="C2" s="116">
        <f>'내역서(표준단가)'!G5</f>
        <v>0</v>
      </c>
      <c r="D2" s="116" t="str">
        <f>'내역서(표준단가)'!H5</f>
        <v>M020853710050101</v>
      </c>
      <c r="E2" s="116">
        <f>'내역서(표준단가)'!I5</f>
        <v>0</v>
      </c>
      <c r="F2" s="117">
        <f>'내역서(표준단가)'!M5</f>
        <v>15.263</v>
      </c>
    </row>
    <row r="3" spans="1:6">
      <c r="A3" s="115" t="str">
        <f>'내역서(표준단가)'!A6</f>
        <v>E00000803071260301</v>
      </c>
      <c r="B3" s="116">
        <f>'내역서(표준단가)'!F6</f>
        <v>0</v>
      </c>
      <c r="C3" s="116" t="str">
        <f>'내역서(표준단가)'!G6</f>
        <v>E00000803071260301</v>
      </c>
      <c r="D3" s="116">
        <f>'내역서(표준단가)'!H6</f>
        <v>0</v>
      </c>
      <c r="E3" s="116">
        <f>'내역서(표준단가)'!I6</f>
        <v>0</v>
      </c>
      <c r="F3" s="117">
        <f>'내역서(표준단가)'!M6</f>
        <v>4.0430000000000001</v>
      </c>
    </row>
    <row r="4" spans="1:6">
      <c r="A4" s="115" t="str">
        <f>'내역서(표준단가)'!A7</f>
        <v>E00000803071260301</v>
      </c>
      <c r="B4" s="116">
        <f>'내역서(표준단가)'!F7</f>
        <v>0</v>
      </c>
      <c r="C4" s="116" t="str">
        <f>'내역서(표준단가)'!G7</f>
        <v>E00000803071260301</v>
      </c>
      <c r="D4" s="116">
        <f>'내역서(표준단가)'!H7</f>
        <v>0</v>
      </c>
      <c r="E4" s="116">
        <f>'내역서(표준단가)'!I7</f>
        <v>0</v>
      </c>
      <c r="F4" s="117">
        <f>'내역서(표준단가)'!M7</f>
        <v>1.8859999999999999</v>
      </c>
    </row>
    <row r="5" spans="1:6">
      <c r="A5" s="115" t="str">
        <f>'내역서(표준단가)'!A8</f>
        <v>M020809012520101</v>
      </c>
      <c r="B5" s="116">
        <f>'내역서(표준단가)'!F8</f>
        <v>0</v>
      </c>
      <c r="C5" s="116">
        <f>'내역서(표준단가)'!G8</f>
        <v>0</v>
      </c>
      <c r="D5" s="116" t="str">
        <f>'내역서(표준단가)'!H8</f>
        <v>M020809012520101</v>
      </c>
      <c r="E5" s="116">
        <f>'내역서(표준단가)'!I8</f>
        <v>0</v>
      </c>
      <c r="F5" s="117">
        <f>'내역서(표준단가)'!M8</f>
        <v>61.8</v>
      </c>
    </row>
    <row r="6" spans="1:6">
      <c r="A6" s="115" t="str">
        <f>'내역서(표준단가)'!A9</f>
        <v>E00000803071260401</v>
      </c>
      <c r="B6" s="116">
        <f>'내역서(표준단가)'!F9</f>
        <v>0</v>
      </c>
      <c r="C6" s="116" t="str">
        <f>'내역서(표준단가)'!G9</f>
        <v>E00000803071260401</v>
      </c>
      <c r="D6" s="116">
        <f>'내역서(표준단가)'!H9</f>
        <v>0</v>
      </c>
      <c r="E6" s="116">
        <f>'내역서(표준단가)'!I9</f>
        <v>0</v>
      </c>
      <c r="F6" s="117">
        <f>'내역서(표준단가)'!M9</f>
        <v>1.0132000000000001</v>
      </c>
    </row>
    <row r="7" spans="1:6">
      <c r="A7" s="115" t="str">
        <f>'내역서(표준단가)'!A10</f>
        <v>M020412614110102</v>
      </c>
      <c r="B7" s="116">
        <f>'내역서(표준단가)'!F10</f>
        <v>0</v>
      </c>
      <c r="C7" s="116">
        <f>'내역서(표준단가)'!G10</f>
        <v>0</v>
      </c>
      <c r="D7" s="116" t="str">
        <f>'내역서(표준단가)'!H10</f>
        <v>M020412614110102</v>
      </c>
      <c r="E7" s="116">
        <f>'내역서(표준단가)'!I10</f>
        <v>0</v>
      </c>
      <c r="F7" s="117">
        <f>'내역서(표준단가)'!M10</f>
        <v>0.3</v>
      </c>
    </row>
    <row r="8" spans="1:6">
      <c r="A8" s="115" t="str">
        <f>'내역서(표준단가)'!A11</f>
        <v>E00000803061120402</v>
      </c>
      <c r="B8" s="116">
        <f>'내역서(표준단가)'!F11</f>
        <v>0</v>
      </c>
      <c r="C8" s="116" t="str">
        <f>'내역서(표준단가)'!G11</f>
        <v>E00000803061120402</v>
      </c>
      <c r="D8" s="116">
        <f>'내역서(표준단가)'!H11</f>
        <v>0</v>
      </c>
      <c r="E8" s="116">
        <f>'내역서(표준단가)'!I11</f>
        <v>0</v>
      </c>
      <c r="F8" s="117">
        <f>'내역서(표준단가)'!M11</f>
        <v>28</v>
      </c>
    </row>
    <row r="9" spans="1:6">
      <c r="A9" s="115" t="str">
        <f>'내역서(표준단가)'!A12</f>
        <v>E00000803061300201</v>
      </c>
      <c r="B9" s="116">
        <f>'내역서(표준단가)'!F12</f>
        <v>0</v>
      </c>
      <c r="C9" s="116" t="str">
        <f>'내역서(표준단가)'!G12</f>
        <v>E00000803061300201</v>
      </c>
      <c r="D9" s="116">
        <f>'내역서(표준단가)'!H12</f>
        <v>0</v>
      </c>
      <c r="E9" s="116">
        <f>'내역서(표준단가)'!I12</f>
        <v>0</v>
      </c>
      <c r="F9" s="117">
        <f>'내역서(표준단가)'!M12</f>
        <v>28</v>
      </c>
    </row>
    <row r="10" spans="1:6">
      <c r="A10" s="115" t="str">
        <f>'내역서(표준단가)'!A13</f>
        <v>E00000801011510701</v>
      </c>
      <c r="B10" s="116">
        <f>'내역서(표준단가)'!F13</f>
        <v>0</v>
      </c>
      <c r="C10" s="116" t="str">
        <f>'내역서(표준단가)'!G13</f>
        <v>E00000801011510701</v>
      </c>
      <c r="D10" s="116">
        <f>'내역서(표준단가)'!H13</f>
        <v>0</v>
      </c>
      <c r="E10" s="116">
        <f>'내역서(표준단가)'!I13</f>
        <v>0</v>
      </c>
      <c r="F10" s="117">
        <f>'내역서(표준단가)'!M13</f>
        <v>96</v>
      </c>
    </row>
    <row r="11" spans="1:6">
      <c r="A11" s="115" t="str">
        <f>'내역서(표준단가)'!A14</f>
        <v>M020450310340103</v>
      </c>
      <c r="B11" s="116">
        <f>'내역서(표준단가)'!F14</f>
        <v>0</v>
      </c>
      <c r="C11" s="116">
        <f>'내역서(표준단가)'!G14</f>
        <v>0</v>
      </c>
      <c r="D11" s="116" t="str">
        <f>'내역서(표준단가)'!H14</f>
        <v>M020450310340103</v>
      </c>
      <c r="E11" s="116">
        <f>'내역서(표준단가)'!I14</f>
        <v>0</v>
      </c>
      <c r="F11" s="117">
        <f>'내역서(표준단가)'!M14</f>
        <v>4</v>
      </c>
    </row>
    <row r="12" spans="1:6">
      <c r="A12" s="115" t="str">
        <f>'내역서(표준단가)'!A15</f>
        <v>M020251411670101</v>
      </c>
      <c r="B12" s="116">
        <f>'내역서(표준단가)'!F15</f>
        <v>0</v>
      </c>
      <c r="C12" s="116">
        <f>'내역서(표준단가)'!G15</f>
        <v>0</v>
      </c>
      <c r="D12" s="116" t="str">
        <f>'내역서(표준단가)'!H15</f>
        <v>M020251411670101</v>
      </c>
      <c r="E12" s="116">
        <f>'내역서(표준단가)'!I15</f>
        <v>0</v>
      </c>
      <c r="F12" s="117">
        <f>'내역서(표준단가)'!M15</f>
        <v>2</v>
      </c>
    </row>
    <row r="13" spans="1:6">
      <c r="A13" s="115" t="str">
        <f>'내역서(표준단가)'!A16</f>
        <v>L002</v>
      </c>
      <c r="B13" s="116">
        <f>'내역서(표준단가)'!F16</f>
        <v>0</v>
      </c>
      <c r="C13" s="116">
        <f>'내역서(표준단가)'!G16</f>
        <v>0</v>
      </c>
      <c r="D13" s="116">
        <f>'내역서(표준단가)'!H16</f>
        <v>0</v>
      </c>
      <c r="E13" s="116" t="str">
        <f>'내역서(표준단가)'!I16</f>
        <v>L002</v>
      </c>
      <c r="F13" s="117">
        <f>'내역서(표준단가)'!M16</f>
        <v>1</v>
      </c>
    </row>
    <row r="14" spans="1:6">
      <c r="A14" s="115" t="str">
        <f>'내역서(표준단가)'!A17</f>
        <v>L003</v>
      </c>
      <c r="B14" s="116">
        <f>'내역서(표준단가)'!F17</f>
        <v>0</v>
      </c>
      <c r="C14" s="116">
        <f>'내역서(표준단가)'!G17</f>
        <v>0</v>
      </c>
      <c r="D14" s="116">
        <f>'내역서(표준단가)'!H17</f>
        <v>0</v>
      </c>
      <c r="E14" s="116" t="str">
        <f>'내역서(표준단가)'!I17</f>
        <v>L003</v>
      </c>
      <c r="F14" s="117">
        <f>'내역서(표준단가)'!M17</f>
        <v>2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O37" sqref="O37"/>
    </sheetView>
  </sheetViews>
  <sheetFormatPr defaultRowHeight="14.2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2025-09-25T06:07:33Z</dcterms:modified>
</cp:coreProperties>
</file>
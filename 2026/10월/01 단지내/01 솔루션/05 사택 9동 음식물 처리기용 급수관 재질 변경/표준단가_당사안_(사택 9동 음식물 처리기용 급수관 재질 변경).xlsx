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807\06 작업폴더\01 사택 9동 음식물 처리기용 급수관 재질 변경\"/>
    </mc:Choice>
  </mc:AlternateContent>
  <xr:revisionPtr revIDLastSave="0" documentId="13_ncr:1_{D6C873F3-EE5B-42F7-8ACD-DD434334C9A0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갑지" sheetId="12" r:id="rId1"/>
    <sheet name="내역서(표준단가)" sheetId="4" r:id="rId2"/>
    <sheet name="Upload" sheetId="1" r:id="rId3"/>
    <sheet name="Upload(시중가)-별도입력" sheetId="7" r:id="rId4"/>
    <sheet name="공사수립계획서" sheetId="10" r:id="rId5"/>
    <sheet name="산출서" sheetId="1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1" l="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B5" i="11"/>
  <c r="C5" i="11"/>
  <c r="A5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I21" i="4"/>
  <c r="Q21" i="4" s="1"/>
  <c r="A21" i="4"/>
  <c r="A18" i="1" s="1"/>
  <c r="I19" i="4"/>
  <c r="M19" i="4" s="1"/>
  <c r="I20" i="4"/>
  <c r="O20" i="4" s="1"/>
  <c r="A20" i="4"/>
  <c r="A17" i="1" s="1"/>
  <c r="A19" i="4"/>
  <c r="A16" i="1" s="1"/>
  <c r="I18" i="4"/>
  <c r="O18" i="4" s="1"/>
  <c r="A18" i="4"/>
  <c r="A15" i="1" s="1"/>
  <c r="I10" i="4"/>
  <c r="O10" i="4" s="1"/>
  <c r="I11" i="4"/>
  <c r="M11" i="4" s="1"/>
  <c r="A11" i="4"/>
  <c r="A8" i="1" s="1"/>
  <c r="A10" i="4"/>
  <c r="A7" i="1" s="1"/>
  <c r="Q18" i="4" l="1"/>
  <c r="Q20" i="4"/>
  <c r="O19" i="4"/>
  <c r="D20" i="11"/>
  <c r="D18" i="11"/>
  <c r="D10" i="11"/>
  <c r="Q19" i="4"/>
  <c r="F16" i="1"/>
  <c r="F8" i="1"/>
  <c r="D19" i="11"/>
  <c r="D17" i="11"/>
  <c r="D9" i="11"/>
  <c r="K21" i="4"/>
  <c r="F18" i="1"/>
  <c r="M21" i="4"/>
  <c r="O21" i="4"/>
  <c r="F17" i="1"/>
  <c r="F15" i="1"/>
  <c r="F7" i="1"/>
  <c r="K20" i="4"/>
  <c r="K19" i="4"/>
  <c r="M20" i="4"/>
  <c r="K18" i="4"/>
  <c r="M18" i="4"/>
  <c r="M10" i="4"/>
  <c r="Q10" i="4"/>
  <c r="K10" i="4"/>
  <c r="K11" i="4"/>
  <c r="O11" i="4"/>
  <c r="Q11" i="4"/>
  <c r="R20" i="4" l="1"/>
  <c r="R19" i="4"/>
  <c r="R18" i="4"/>
  <c r="R21" i="4"/>
  <c r="R10" i="4"/>
  <c r="R11" i="4"/>
  <c r="I13" i="4" l="1"/>
  <c r="D12" i="11" s="1"/>
  <c r="I12" i="4"/>
  <c r="D11" i="11" s="1"/>
  <c r="A13" i="4"/>
  <c r="A10" i="1" s="1"/>
  <c r="A12" i="4"/>
  <c r="A9" i="1" s="1"/>
  <c r="I9" i="4"/>
  <c r="D8" i="11" s="1"/>
  <c r="A9" i="4"/>
  <c r="A6" i="1" s="1"/>
  <c r="I17" i="4"/>
  <c r="D16" i="11" s="1"/>
  <c r="A17" i="4"/>
  <c r="A14" i="1" s="1"/>
  <c r="I16" i="4"/>
  <c r="D15" i="11" s="1"/>
  <c r="A16" i="4"/>
  <c r="A13" i="1" s="1"/>
  <c r="I15" i="4"/>
  <c r="D14" i="11" s="1"/>
  <c r="A15" i="4"/>
  <c r="A12" i="1" s="1"/>
  <c r="I8" i="4"/>
  <c r="D7" i="11" s="1"/>
  <c r="O8" i="4"/>
  <c r="A8" i="4"/>
  <c r="A5" i="1" s="1"/>
  <c r="I7" i="4"/>
  <c r="D6" i="11" s="1"/>
  <c r="A7" i="4"/>
  <c r="A4" i="1" s="1"/>
  <c r="I6" i="4"/>
  <c r="D5" i="11" s="1"/>
  <c r="A6" i="4"/>
  <c r="A3" i="1" s="1"/>
  <c r="I14" i="4"/>
  <c r="D13" i="11" s="1"/>
  <c r="A14" i="4"/>
  <c r="A11" i="1" s="1"/>
  <c r="I22" i="4"/>
  <c r="F19" i="1" l="1"/>
  <c r="M22" i="4"/>
  <c r="Q15" i="4"/>
  <c r="F12" i="1"/>
  <c r="Q16" i="4"/>
  <c r="F13" i="1"/>
  <c r="K9" i="4"/>
  <c r="F6" i="1"/>
  <c r="M17" i="4"/>
  <c r="F14" i="1"/>
  <c r="O6" i="4"/>
  <c r="F3" i="1"/>
  <c r="M7" i="4"/>
  <c r="R7" i="4" s="1"/>
  <c r="F4" i="1"/>
  <c r="K12" i="4"/>
  <c r="F9" i="1"/>
  <c r="O14" i="4"/>
  <c r="F11" i="1"/>
  <c r="M8" i="4"/>
  <c r="F5" i="1"/>
  <c r="Q13" i="4"/>
  <c r="F10" i="1"/>
  <c r="M13" i="4"/>
  <c r="O12" i="4"/>
  <c r="O13" i="4"/>
  <c r="M12" i="4"/>
  <c r="O17" i="4"/>
  <c r="Q17" i="4"/>
  <c r="Q9" i="4"/>
  <c r="Q12" i="4"/>
  <c r="O9" i="4"/>
  <c r="K16" i="4"/>
  <c r="K17" i="4"/>
  <c r="M9" i="4"/>
  <c r="M16" i="4"/>
  <c r="O16" i="4"/>
  <c r="Q8" i="4"/>
  <c r="M15" i="4"/>
  <c r="K6" i="4"/>
  <c r="O15" i="4"/>
  <c r="K15" i="4"/>
  <c r="Q6" i="4"/>
  <c r="M6" i="4"/>
  <c r="M14" i="4"/>
  <c r="K14" i="4"/>
  <c r="Q14" i="4"/>
  <c r="R13" i="4" l="1"/>
  <c r="R17" i="4"/>
  <c r="R8" i="4"/>
  <c r="R12" i="4"/>
  <c r="R15" i="4"/>
  <c r="R9" i="4"/>
  <c r="R16" i="4"/>
  <c r="R6" i="4"/>
  <c r="R14" i="4"/>
  <c r="Q22" i="4" l="1"/>
  <c r="A22" i="4"/>
  <c r="A19" i="1" s="1"/>
  <c r="K22" i="4" l="1"/>
  <c r="O22" i="4"/>
  <c r="R22" i="4" l="1"/>
  <c r="Q23" i="4" l="1"/>
  <c r="O23" i="4"/>
  <c r="M23" i="4"/>
  <c r="K23" i="4"/>
  <c r="K24" i="4" s="1"/>
  <c r="A23" i="4"/>
  <c r="R23" i="4" l="1"/>
  <c r="B2" i="1" l="1"/>
  <c r="C2" i="1"/>
  <c r="M24" i="4" l="1"/>
  <c r="A3" i="11" l="1"/>
  <c r="E4" i="10" l="1"/>
  <c r="C5" i="10" l="1"/>
  <c r="O24" i="4" l="1"/>
  <c r="F15" i="12" l="1"/>
  <c r="F16" i="12" l="1"/>
  <c r="F24" i="12" l="1"/>
  <c r="F26" i="12" s="1"/>
  <c r="F25" i="12"/>
  <c r="F23" i="12"/>
  <c r="F22" i="12"/>
  <c r="F21" i="12"/>
  <c r="F27" i="12" l="1"/>
  <c r="F28" i="12" s="1"/>
  <c r="Q24" i="4"/>
  <c r="A24" i="4"/>
  <c r="R24" i="4" l="1"/>
  <c r="F17" i="12"/>
  <c r="F19" i="12" s="1"/>
  <c r="F30" i="12" s="1"/>
  <c r="F31" i="12" s="1"/>
  <c r="F2" i="1"/>
  <c r="E2" i="1"/>
  <c r="D2" i="1"/>
  <c r="A2" i="1"/>
  <c r="B1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<sst xmlns="http://schemas.openxmlformats.org/spreadsheetml/2006/main" count="257" uniqueCount="215">
  <si>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</si>
  <si>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</si>
  <si>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</si>
  <si>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</si>
  <si>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</si>
  <si>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</si>
  <si>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</si>
  <si>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</si>
  <si>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</si>
  <si>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</si>
  <si>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</si>
  <si>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</si>
  <si>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</si>
  <si>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</si>
  <si>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</si>
  <si>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</si>
  <si>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</si>
  <si>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</si>
  <si>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</si>
  <si>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</si>
  <si>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</si>
  <si>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</si>
  <si>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</si>
  <si>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</si>
  <si>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</si>
  <si>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</si>
  <si>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</si>
  <si>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</si>
  <si>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</si>
  <si>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</si>
  <si>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</si>
  <si>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</si>
  <si>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</si>
  <si>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</si>
  <si>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</si>
  <si>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</si>
  <si>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</si>
  <si>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</si>
  <si>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</si>
  <si>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</si>
  <si>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</si>
  <si>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</si>
  <si>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</si>
  <si>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</si>
  <si>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</si>
  <si>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</si>
  <si>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</si>
  <si>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</si>
  <si>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</si>
  <si>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</si>
  <si>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</si>
  <si>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</si>
  <si>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</si>
  <si>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</si>
  <si>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</si>
  <si>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</si>
  <si>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</si>
  <si>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</si>
  <si>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</si>
  <si>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</si>
  <si>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</si>
  <si>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</si>
  <si>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</si>
  <si>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</si>
  <si>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</si>
  <si>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</si>
  <si>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</si>
  <si>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</si>
  <si>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</si>
  <si>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</si>
  <si>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</si>
  <si>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</si>
  <si>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</si>
  <si>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</si>
  <si>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</si>
  <si>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</si>
  <si>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</si>
  <si>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</si>
  <si>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</si>
  <si>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</si>
  <si>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</si>
  <si>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</si>
  <si>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</si>
  <si>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</si>
  <si>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</si>
  <si>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</si>
  <si>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</si>
  <si>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</si>
  <si>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</si>
  <si>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</si>
  <si>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</si>
  <si>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</si>
  <si>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</si>
  <si>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</si>
  <si>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</si>
  <si>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</si>
  <si>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</si>
  <si>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</si>
  <si>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</si>
  <si>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</si>
  <si>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</si>
  <si>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품명</t>
    <phoneticPr fontId="241" type="noConversion"/>
  </si>
  <si>
    <t>규격</t>
    <phoneticPr fontId="241" type="noConversion"/>
  </si>
  <si>
    <t>단위</t>
    <phoneticPr fontId="241" type="noConversion"/>
  </si>
  <si>
    <t>수량</t>
    <phoneticPr fontId="126" type="noConversion"/>
  </si>
  <si>
    <t>산출근거</t>
    <phoneticPr fontId="241" type="noConversion"/>
  </si>
  <si>
    <t>내역도면번호</t>
    <phoneticPr fontId="241" type="noConversion"/>
  </si>
  <si>
    <t>비고</t>
    <phoneticPr fontId="241" type="noConversion"/>
  </si>
  <si>
    <t>■ 위험작업 유무 :  유(고소,화기,신호수)</t>
    <phoneticPr fontId="15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</si>
  <si>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</si>
  <si>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</si>
  <si>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</si>
  <si>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</si>
  <si>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</si>
  <si>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</si>
  <si>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</si>
  <si>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</si>
  <si>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</si>
  <si>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</si>
  <si>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</si>
  <si>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</si>
  <si>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</si>
  <si>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</si>
  <si>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</si>
  <si>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</si>
  <si>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</si>
  <si>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</si>
  <si>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</si>
  <si>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</si>
  <si>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</si>
  <si>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식</t>
    <phoneticPr fontId="34" type="noConversion"/>
  </si>
  <si>
    <t>국민연금 보험료</t>
    <phoneticPr fontId="34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</si>
  <si>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</si>
  <si>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</si>
  <si>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</si>
  <si>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=2</t>
  </si>
  <si>
    <t> 노무비*3.595%</t>
    <phoneticPr fontId="15" type="noConversion"/>
  </si>
  <si>
    <t> 노무비*4.75%</t>
    <phoneticPr fontId="17" type="noConversion"/>
  </si>
  <si>
    <t>L002</t>
  </si>
  <si>
    <t xml:space="preserve"> - 주변정리 </t>
    <phoneticPr fontId="15" type="noConversion"/>
  </si>
  <si>
    <t>(단위당)</t>
  </si>
  <si>
    <t xml:space="preserve"> - 화기작업 / 화기감시자 배치</t>
    <phoneticPr fontId="15" type="noConversion"/>
  </si>
  <si>
    <t>m</t>
    <phoneticPr fontId="15" type="noConversion"/>
  </si>
  <si>
    <t>화기감시자</t>
    <phoneticPr fontId="15" type="noConversion"/>
  </si>
  <si>
    <t xml:space="preserve"> 공사명 : 엘지 사택 음식물처리기용 급수배관 교체공사</t>
    <phoneticPr fontId="25" type="noConversion"/>
  </si>
  <si>
    <t xml:space="preserve"> 견적일 : 2026년  08월 04일</t>
    <phoneticPr fontId="25" type="noConversion"/>
  </si>
  <si>
    <t>음식물처리기용 급수배관 교체공사</t>
    <phoneticPr fontId="15" type="noConversion"/>
  </si>
  <si>
    <t>보통인부</t>
  </si>
  <si>
    <t>인</t>
  </si>
  <si>
    <t>M025015110050105</t>
  </si>
  <si>
    <t>m</t>
  </si>
  <si>
    <t>배관용스테인리스강관(공업용)</t>
    <phoneticPr fontId="15" type="noConversion"/>
  </si>
  <si>
    <t>호칭15A, 외경21.7㎜, 3.0mm</t>
    <phoneticPr fontId="15" type="noConversion"/>
  </si>
  <si>
    <t>H01</t>
    <phoneticPr fontId="15" type="noConversion"/>
  </si>
  <si>
    <t>E00000806001030304</t>
  </si>
  <si>
    <t>용접배관</t>
  </si>
  <si>
    <t>15㎜(시공량 : 95m)</t>
  </si>
  <si>
    <t>(일당)</t>
  </si>
  <si>
    <r>
      <rPr>
        <sz val="10"/>
        <color rgb="FF000000"/>
        <rFont val="맑은 고딕"/>
        <family val="3"/>
        <charset val="129"/>
      </rPr>
      <t>용접배관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5" type="noConversion"/>
  </si>
  <si>
    <t>E00000806003010101</t>
  </si>
  <si>
    <t>Ø15㎜ - 보온두께 : 25㎜이하(시공량 : 77m)</t>
  </si>
  <si>
    <r>
      <rPr>
        <sz val="10"/>
        <color rgb="FF000000"/>
        <rFont val="맑은 고딕"/>
        <family val="3"/>
        <charset val="129"/>
      </rPr>
      <t>일반마감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배관보온</t>
    </r>
    <r>
      <rPr>
        <sz val="10"/>
        <color rgb="FF000000"/>
        <rFont val="Arial"/>
        <family val="2"/>
      </rPr>
      <t xml:space="preserve"> - </t>
    </r>
    <r>
      <rPr>
        <sz val="10"/>
        <color rgb="FF000000"/>
        <rFont val="맑은 고딕"/>
        <family val="3"/>
        <charset val="129"/>
      </rPr>
      <t>고무발포보온재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5" type="noConversion"/>
  </si>
  <si>
    <t>E00000806005010101</t>
  </si>
  <si>
    <t>15~25㎜</t>
  </si>
  <si>
    <t>(개당)</t>
  </si>
  <si>
    <r>
      <rPr>
        <sz val="10"/>
        <color rgb="FF000000"/>
        <rFont val="맑은 고딕"/>
        <family val="3"/>
        <charset val="129"/>
      </rPr>
      <t>일반밸브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콕류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5" type="noConversion"/>
  </si>
  <si>
    <t>M02501PA10010101</t>
  </si>
  <si>
    <t>스테인리스관이음쇠</t>
  </si>
  <si>
    <t>90도 엘보(LONG), 15㎜, S/10</t>
  </si>
  <si>
    <t>개</t>
  </si>
  <si>
    <t>M02501QV10440101</t>
  </si>
  <si>
    <t>스텐단닛블</t>
  </si>
  <si>
    <t>15A, 34㎜</t>
  </si>
  <si>
    <t>M02512B710010101</t>
  </si>
  <si>
    <t>스테인리스볼밸브</t>
  </si>
  <si>
    <t>SCS13/SUS304(CF8)-10K(150LB)-SCR'D, 15A, 1/2</t>
  </si>
  <si>
    <t>E00000806001030201</t>
    <phoneticPr fontId="15" type="noConversion"/>
  </si>
  <si>
    <t>용접접함 - 참고(&amp;#8226; TIG용접 소모재료)</t>
  </si>
  <si>
    <t>Ø15㎜</t>
  </si>
  <si>
    <t>(용접개소당)</t>
  </si>
  <si>
    <t>E00000806001030104</t>
  </si>
  <si>
    <t>용접접합</t>
  </si>
  <si>
    <t>15㎜</t>
  </si>
  <si>
    <r>
      <rPr>
        <sz val="10"/>
        <rFont val="맑은 고딕"/>
        <family val="2"/>
        <charset val="129"/>
      </rPr>
      <t>고무발포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관보온</t>
    </r>
    <phoneticPr fontId="15" type="noConversion"/>
  </si>
  <si>
    <t>25t x D15</t>
    <phoneticPr fontId="15" type="noConversion"/>
  </si>
  <si>
    <t>40t x D15</t>
  </si>
  <si>
    <t>40t x D15</t>
    <phoneticPr fontId="15" type="noConversion"/>
  </si>
  <si>
    <t>M02501E110010102</t>
  </si>
  <si>
    <t>파이프행거</t>
  </si>
  <si>
    <t>15A, 절연행거</t>
  </si>
  <si>
    <t>M010332810030101</t>
  </si>
  <si>
    <t>전산볼트</t>
  </si>
  <si>
    <t>M10(도금) (길이 1m)</t>
  </si>
  <si>
    <t>M010333813300101</t>
  </si>
  <si>
    <t>SET A/C(용융)</t>
  </si>
  <si>
    <t>3/8×75(9×75)</t>
  </si>
  <si>
    <t>E00000808374072301</t>
  </si>
  <si>
    <t>부대공사(앵커볼트 설치 등) - 전산볼트 설치</t>
  </si>
  <si>
    <t>Ø13㎜이하</t>
  </si>
  <si>
    <t>고무발포 관보온 (25년 기계일위대가표 P-11)</t>
    <phoneticPr fontId="15" type="noConversion"/>
  </si>
  <si>
    <t>고무발포 관보온</t>
  </si>
  <si>
    <t>25t x D15</t>
  </si>
  <si>
    <t>=26/95</t>
  </si>
  <si>
    <t>=ROUND(4+4+6,0)</t>
  </si>
  <si>
    <t>=9+3</t>
  </si>
  <si>
    <t>=ROUND(26/3+8*2,0)</t>
  </si>
  <si>
    <t>=ROUND(4+4.5+5+11*1.1,0)</t>
  </si>
  <si>
    <t>=8</t>
  </si>
  <si>
    <t>=14/2</t>
  </si>
  <si>
    <t>=ROUND(7*1.2,0)</t>
  </si>
  <si>
    <t>=7</t>
  </si>
  <si>
    <t xml:space="preserve"> - 기존 급수 배관 및 보온 철거 (동관)</t>
    <phoneticPr fontId="15" type="noConversion"/>
  </si>
  <si>
    <t xml:space="preserve"> - 자재준비</t>
    <phoneticPr fontId="15" type="noConversion"/>
  </si>
  <si>
    <t xml:space="preserve"> - 신규 급수 배관 및 보온 설치 (STS관 / 고무발포)</t>
    <phoneticPr fontId="15" type="noConversion"/>
  </si>
  <si>
    <t xml:space="preserve"> - 기존 열선 연결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</si>
</sst>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  <numFmt numFmtId="335" formatCode="#.00"/>
  </numFmts>
  <fonts count="2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맑은 고딕"/>
      <family val="2"/>
      <charset val="129"/>
    </font>
    <font>
      <sz val="10"/>
      <name val="맑은 고딕"/>
      <family val="2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4" fillId="0" borderId="0"/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4" fillId="0" borderId="0" applyFont="0" applyFill="0" applyBorder="0" applyAlignment="0" applyProtection="0"/>
    <xf numFmtId="0" fontId="22" fillId="0" borderId="0"/>
    <xf numFmtId="186" fontId="64" fillId="0" borderId="0" applyFont="0" applyFill="0" applyBorder="0" applyAlignment="0" applyProtection="0"/>
    <xf numFmtId="0" fontId="65" fillId="0" borderId="0"/>
    <xf numFmtId="0" fontId="66" fillId="0" borderId="0"/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9" fillId="0" borderId="54">
      <alignment horizontal="center"/>
    </xf>
    <xf numFmtId="0" fontId="70" fillId="0" borderId="0"/>
    <xf numFmtId="187" fontId="71" fillId="0" borderId="55" applyBorder="0">
      <alignment horizontal="center"/>
    </xf>
    <xf numFmtId="10" fontId="71" fillId="0" borderId="55" applyBorder="0">
      <alignment horizontal="center"/>
    </xf>
    <xf numFmtId="0" fontId="71" fillId="0" borderId="0"/>
    <xf numFmtId="0" fontId="66" fillId="0" borderId="43">
      <alignment horizontal="centerContinuous" vertical="center"/>
    </xf>
    <xf numFmtId="3" fontId="64" fillId="0" borderId="56"/>
    <xf numFmtId="3" fontId="72" fillId="0" borderId="0" applyFont="0" applyFill="0" applyBorder="0" applyAlignment="0" applyProtection="0">
      <alignment vertical="center"/>
    </xf>
    <xf numFmtId="188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90" fontId="54" fillId="0" borderId="56" applyFont="0" applyFill="0" applyBorder="0" applyAlignment="0" applyProtection="0">
      <alignment vertical="center"/>
    </xf>
    <xf numFmtId="191" fontId="67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192" fontId="54" fillId="0" borderId="0" applyFont="0" applyFill="0" applyBorder="0" applyAlignment="0" applyProtection="0"/>
    <xf numFmtId="194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202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94" fontId="67" fillId="0" borderId="0">
      <alignment vertical="center"/>
    </xf>
    <xf numFmtId="203" fontId="54" fillId="0" borderId="0" applyFont="0" applyFill="0" applyBorder="0" applyAlignment="0" applyProtection="0"/>
    <xf numFmtId="204" fontId="54" fillId="0" borderId="56" applyFont="0" applyFill="0" applyBorder="0" applyAlignment="0" applyProtection="0">
      <alignment vertical="center"/>
    </xf>
    <xf numFmtId="205" fontId="54" fillId="0" borderId="0" applyFont="0" applyFill="0" applyBorder="0" applyAlignment="0" applyProtection="0"/>
    <xf numFmtId="206" fontId="54" fillId="0" borderId="0" applyFont="0" applyFill="0" applyBorder="0" applyAlignment="0" applyProtection="0"/>
    <xf numFmtId="207" fontId="54" fillId="0" borderId="0" applyFont="0" applyFill="0" applyBorder="0" applyAlignment="0" applyProtection="0"/>
    <xf numFmtId="208" fontId="54" fillId="0" borderId="0" applyFont="0" applyFill="0" applyBorder="0" applyAlignment="0" applyProtection="0"/>
    <xf numFmtId="209" fontId="54" fillId="0" borderId="0" applyFont="0" applyFill="0" applyBorder="0" applyAlignment="0" applyProtection="0"/>
    <xf numFmtId="210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2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213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4" fontId="67" fillId="0" borderId="0">
      <alignment vertical="center"/>
    </xf>
    <xf numFmtId="214" fontId="67" fillId="0" borderId="0">
      <alignment vertical="center"/>
    </xf>
    <xf numFmtId="3" fontId="64" fillId="0" borderId="56"/>
    <xf numFmtId="24" fontId="69" fillId="0" borderId="0" applyFont="0" applyFill="0" applyBorder="0" applyAlignment="0" applyProtection="0"/>
    <xf numFmtId="215" fontId="52" fillId="0" borderId="0" applyNumberFormat="0" applyFont="0" applyFill="0" applyBorder="0" applyAlignment="0" applyProtection="0"/>
    <xf numFmtId="215" fontId="52" fillId="0" borderId="0" applyNumberFormat="0" applyFont="0" applyFill="0" applyBorder="0" applyAlignment="0" applyProtection="0"/>
    <xf numFmtId="216" fontId="54" fillId="0" borderId="0" applyNumberFormat="0" applyFont="0" applyFill="0" applyBorder="0" applyAlignment="0" applyProtection="0"/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217" fontId="75" fillId="0" borderId="56" applyFill="0" applyBorder="0" applyProtection="0">
      <alignment horizontal="right" vertical="center"/>
    </xf>
    <xf numFmtId="0" fontId="73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4" fillId="0" borderId="0"/>
    <xf numFmtId="0" fontId="76" fillId="0" borderId="0" applyFont="0" applyFill="0" applyBorder="0" applyAlignment="0" applyProtection="0"/>
    <xf numFmtId="0" fontId="65" fillId="0" borderId="0"/>
    <xf numFmtId="0" fontId="67" fillId="0" borderId="0"/>
    <xf numFmtId="0" fontId="77" fillId="0" borderId="0"/>
    <xf numFmtId="0" fontId="67" fillId="0" borderId="0"/>
    <xf numFmtId="0" fontId="67" fillId="0" borderId="0"/>
    <xf numFmtId="0" fontId="22" fillId="0" borderId="0" applyFont="0" applyFill="0" applyBorder="0" applyAlignment="0" applyProtection="0"/>
    <xf numFmtId="179" fontId="78" fillId="0" borderId="0" applyFont="0" applyFill="0" applyBorder="0" applyAlignment="0" applyProtection="0"/>
    <xf numFmtId="218" fontId="54" fillId="0" borderId="0" applyFont="0" applyFill="0" applyBorder="0" applyAlignment="0" applyProtection="0"/>
    <xf numFmtId="179" fontId="78" fillId="0" borderId="0" applyFont="0" applyFill="0" applyBorder="0" applyAlignment="0" applyProtection="0"/>
    <xf numFmtId="218" fontId="54" fillId="0" borderId="0" applyFont="0" applyFill="0" applyBorder="0" applyAlignment="0" applyProtection="0"/>
    <xf numFmtId="219" fontId="54" fillId="0" borderId="0" applyFont="0" applyFill="0" applyBorder="0" applyAlignment="0" applyProtection="0"/>
    <xf numFmtId="220" fontId="78" fillId="0" borderId="0" applyFont="0" applyFill="0" applyBorder="0" applyAlignment="0" applyProtection="0"/>
    <xf numFmtId="219" fontId="54" fillId="0" borderId="0" applyFont="0" applyFill="0" applyBorder="0" applyAlignment="0" applyProtection="0"/>
    <xf numFmtId="220" fontId="78" fillId="0" borderId="0" applyFont="0" applyFill="0" applyBorder="0" applyAlignment="0" applyProtection="0"/>
    <xf numFmtId="179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0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81" fillId="0" borderId="0"/>
    <xf numFmtId="0" fontId="22" fillId="0" borderId="0"/>
    <xf numFmtId="0" fontId="22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69" fillId="0" borderId="0"/>
    <xf numFmtId="0" fontId="69" fillId="0" borderId="0"/>
    <xf numFmtId="0" fontId="70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81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81" fillId="0" borderId="0"/>
    <xf numFmtId="0" fontId="54" fillId="0" borderId="0"/>
    <xf numFmtId="0" fontId="22" fillId="0" borderId="0"/>
    <xf numFmtId="0" fontId="54" fillId="0" borderId="0"/>
    <xf numFmtId="0" fontId="69" fillId="0" borderId="0"/>
    <xf numFmtId="0" fontId="54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22" fillId="0" borderId="0"/>
    <xf numFmtId="0" fontId="81" fillId="0" borderId="0"/>
    <xf numFmtId="0" fontId="71" fillId="0" borderId="0"/>
    <xf numFmtId="0" fontId="71" fillId="0" borderId="0"/>
    <xf numFmtId="0" fontId="8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69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81" fillId="0" borderId="0"/>
    <xf numFmtId="0" fontId="71" fillId="0" borderId="0" applyFont="0" applyFill="0" applyBorder="0" applyAlignment="0" applyProtection="0"/>
    <xf numFmtId="0" fontId="54" fillId="0" borderId="0"/>
    <xf numFmtId="0" fontId="22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71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8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22" fillId="0" borderId="0"/>
    <xf numFmtId="0" fontId="22" fillId="0" borderId="0"/>
    <xf numFmtId="0" fontId="69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69" fillId="0" borderId="0"/>
    <xf numFmtId="0" fontId="22" fillId="0" borderId="0"/>
    <xf numFmtId="0" fontId="71" fillId="0" borderId="0"/>
    <xf numFmtId="0" fontId="22" fillId="0" borderId="0"/>
    <xf numFmtId="0" fontId="69" fillId="0" borderId="0"/>
    <xf numFmtId="0" fontId="70" fillId="0" borderId="0"/>
    <xf numFmtId="0" fontId="69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1" fillId="0" borderId="0"/>
    <xf numFmtId="0" fontId="8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/>
    <xf numFmtId="0" fontId="69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71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68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19" fontId="54" fillId="0" borderId="0" applyFont="0" applyFill="0" applyBorder="0" applyAlignment="0" applyProtection="0"/>
    <xf numFmtId="218" fontId="5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3" fillId="0" borderId="0"/>
    <xf numFmtId="0" fontId="54" fillId="0" borderId="0" applyFont="0" applyFill="0" applyBorder="0" applyProtection="0">
      <alignment vertical="center"/>
    </xf>
    <xf numFmtId="0" fontId="54" fillId="0" borderId="0">
      <alignment vertical="center"/>
    </xf>
    <xf numFmtId="221" fontId="84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8" fillId="0" borderId="0">
      <protection locked="0"/>
    </xf>
    <xf numFmtId="222" fontId="54" fillId="0" borderId="0">
      <protection locked="0"/>
    </xf>
    <xf numFmtId="0" fontId="68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9" fillId="0" borderId="0"/>
    <xf numFmtId="223" fontId="82" fillId="0" borderId="0">
      <protection locked="0"/>
    </xf>
    <xf numFmtId="220" fontId="79" fillId="0" borderId="0" applyFont="0" applyFill="0" applyBorder="0" applyAlignment="0" applyProtection="0"/>
    <xf numFmtId="179" fontId="79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6" fillId="0" borderId="0">
      <alignment vertical="center"/>
    </xf>
    <xf numFmtId="0" fontId="54" fillId="0" borderId="0"/>
    <xf numFmtId="0" fontId="8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8" fontId="87" fillId="0" borderId="58" applyFill="0" applyProtection="0">
      <alignment horizontal="center"/>
    </xf>
    <xf numFmtId="3" fontId="64" fillId="0" borderId="56"/>
    <xf numFmtId="0" fontId="66" fillId="0" borderId="0">
      <alignment vertical="center"/>
    </xf>
    <xf numFmtId="3" fontId="64" fillId="0" borderId="56"/>
    <xf numFmtId="10" fontId="66" fillId="0" borderId="0">
      <alignment vertical="center"/>
    </xf>
    <xf numFmtId="0" fontId="66" fillId="0" borderId="0">
      <alignment vertical="center"/>
    </xf>
    <xf numFmtId="224" fontId="54" fillId="0" borderId="0">
      <alignment vertical="center"/>
    </xf>
    <xf numFmtId="0" fontId="23" fillId="0" borderId="56">
      <alignment vertical="center"/>
    </xf>
    <xf numFmtId="0" fontId="67" fillId="0" borderId="0">
      <alignment vertical="center"/>
    </xf>
    <xf numFmtId="0" fontId="54" fillId="0" borderId="0"/>
    <xf numFmtId="0" fontId="88" fillId="0" borderId="59"/>
    <xf numFmtId="3" fontId="89" fillId="0" borderId="28">
      <alignment horizontal="right" vertical="center"/>
    </xf>
    <xf numFmtId="225" fontId="22" fillId="0" borderId="0" applyFont="0" applyFill="0" applyBorder="0" applyAlignment="0" applyProtection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3" fontId="89" fillId="0" borderId="28">
      <alignment horizontal="right" vertical="center"/>
    </xf>
    <xf numFmtId="177" fontId="67" fillId="0" borderId="0">
      <alignment horizontal="center" vertical="center"/>
    </xf>
    <xf numFmtId="177" fontId="67" fillId="0" borderId="0">
      <alignment horizontal="center" vertical="center"/>
    </xf>
    <xf numFmtId="226" fontId="90" fillId="0" borderId="0">
      <alignment horizontal="center" vertical="center"/>
    </xf>
    <xf numFmtId="3" fontId="89" fillId="0" borderId="28">
      <alignment horizontal="right" vertical="center"/>
    </xf>
    <xf numFmtId="3" fontId="89" fillId="0" borderId="28">
      <alignment horizontal="right" vertical="center"/>
    </xf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3" fontId="89" fillId="0" borderId="28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23" fontId="92" fillId="0" borderId="0">
      <protection locked="0"/>
    </xf>
    <xf numFmtId="9" fontId="93" fillId="0" borderId="0" applyFont="0" applyFill="0" applyBorder="0" applyAlignment="0" applyProtection="0"/>
    <xf numFmtId="10" fontId="94" fillId="0" borderId="0" applyFont="0" applyFill="0" applyBorder="0" applyAlignment="0" applyProtection="0"/>
    <xf numFmtId="2" fontId="89" fillId="0" borderId="28">
      <alignment horizontal="right" vertical="center"/>
    </xf>
    <xf numFmtId="0" fontId="67" fillId="0" borderId="0"/>
    <xf numFmtId="0" fontId="67" fillId="0" borderId="2">
      <alignment horizontal="center"/>
    </xf>
    <xf numFmtId="2" fontId="89" fillId="0" borderId="28">
      <alignment horizontal="right" vertical="center"/>
    </xf>
    <xf numFmtId="0" fontId="86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22" fillId="0" borderId="0"/>
    <xf numFmtId="0" fontId="68" fillId="0" borderId="0">
      <protection locked="0"/>
    </xf>
    <xf numFmtId="0" fontId="82" fillId="0" borderId="0">
      <protection locked="0"/>
    </xf>
    <xf numFmtId="227" fontId="71" fillId="0" borderId="0">
      <alignment vertical="center"/>
    </xf>
    <xf numFmtId="0" fontId="86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9" fontId="67" fillId="0" borderId="0">
      <protection locked="0"/>
    </xf>
    <xf numFmtId="0" fontId="97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22" fillId="0" borderId="0"/>
    <xf numFmtId="0" fontId="100" fillId="0" borderId="60">
      <alignment horizontal="center" vertical="center"/>
    </xf>
    <xf numFmtId="228" fontId="54" fillId="0" borderId="0" applyFont="0" applyFill="0" applyBorder="0" applyAlignment="0" applyProtection="0"/>
    <xf numFmtId="0" fontId="82" fillId="0" borderId="0">
      <protection locked="0"/>
    </xf>
    <xf numFmtId="0" fontId="10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3" fillId="63" borderId="61">
      <alignment horizontal="center" vertical="center"/>
    </xf>
    <xf numFmtId="223" fontId="82" fillId="0" borderId="0">
      <protection locked="0"/>
    </xf>
    <xf numFmtId="0" fontId="82" fillId="0" borderId="0">
      <protection locked="0"/>
    </xf>
    <xf numFmtId="0" fontId="54" fillId="0" borderId="0">
      <protection locked="0"/>
    </xf>
    <xf numFmtId="223" fontId="92" fillId="0" borderId="0">
      <protection locked="0"/>
    </xf>
    <xf numFmtId="0" fontId="103" fillId="0" borderId="0" applyFont="0" applyFill="0" applyBorder="0" applyAlignment="0" applyProtection="0"/>
    <xf numFmtId="23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30" fontId="93" fillId="0" borderId="0" applyFont="0" applyFill="0" applyBorder="0" applyAlignment="0" applyProtection="0"/>
    <xf numFmtId="0" fontId="18" fillId="0" borderId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54" fillId="0" borderId="0">
      <protection locked="0"/>
    </xf>
    <xf numFmtId="0" fontId="94" fillId="0" borderId="0" applyFont="0" applyFill="0" applyBorder="0" applyAlignment="0" applyProtection="0"/>
    <xf numFmtId="231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31" fontId="93" fillId="0" borderId="0" applyFont="0" applyFill="0" applyBorder="0" applyAlignment="0" applyProtection="0"/>
    <xf numFmtId="0" fontId="18" fillId="0" borderId="0"/>
    <xf numFmtId="231" fontId="93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68" fillId="0" borderId="0">
      <protection locked="0"/>
    </xf>
    <xf numFmtId="223" fontId="82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32" fontId="54" fillId="0" borderId="0">
      <protection locked="0"/>
    </xf>
    <xf numFmtId="0" fontId="69" fillId="0" borderId="0"/>
    <xf numFmtId="233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2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23" fontId="92" fillId="0" borderId="0">
      <protection locked="0"/>
    </xf>
    <xf numFmtId="0" fontId="103" fillId="0" borderId="0" applyFont="0" applyFill="0" applyBorder="0" applyAlignment="0" applyProtection="0"/>
    <xf numFmtId="179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9" fontId="93" fillId="0" borderId="0" applyFont="0" applyFill="0" applyBorder="0" applyAlignment="0" applyProtection="0"/>
    <xf numFmtId="0" fontId="18" fillId="0" borderId="0"/>
    <xf numFmtId="179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2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0" fontId="93" fillId="0" borderId="0" applyFont="0" applyFill="0" applyBorder="0" applyAlignment="0" applyProtection="0"/>
    <xf numFmtId="0" fontId="18" fillId="0" borderId="0"/>
    <xf numFmtId="220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4" fontId="82" fillId="0" borderId="0">
      <protection locked="0"/>
    </xf>
    <xf numFmtId="234" fontId="54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9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0" fillId="0" borderId="0" applyNumberFormat="0" applyFill="0" applyBorder="0" applyAlignment="0" applyProtection="0"/>
    <xf numFmtId="0" fontId="18" fillId="0" borderId="0"/>
    <xf numFmtId="0" fontId="82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1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92" fillId="0" borderId="0">
      <protection locked="0"/>
    </xf>
    <xf numFmtId="0" fontId="94" fillId="0" borderId="0"/>
    <xf numFmtId="0" fontId="93" fillId="0" borderId="0"/>
    <xf numFmtId="0" fontId="112" fillId="0" borderId="0"/>
    <xf numFmtId="0" fontId="113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94" fillId="0" borderId="0"/>
    <xf numFmtId="0" fontId="93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49" fontId="94" fillId="0" borderId="0" applyBorder="0"/>
    <xf numFmtId="0" fontId="106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16" fillId="0" borderId="0"/>
    <xf numFmtId="0" fontId="117" fillId="0" borderId="0"/>
    <xf numFmtId="0" fontId="107" fillId="0" borderId="0"/>
    <xf numFmtId="0" fontId="93" fillId="0" borderId="0"/>
    <xf numFmtId="0" fontId="112" fillId="0" borderId="0"/>
    <xf numFmtId="0" fontId="106" fillId="0" borderId="0"/>
    <xf numFmtId="0" fontId="22" fillId="0" borderId="0"/>
    <xf numFmtId="0" fontId="18" fillId="0" borderId="0"/>
    <xf numFmtId="0" fontId="54" fillId="0" borderId="0" applyFill="0" applyBorder="0" applyAlignment="0"/>
    <xf numFmtId="235" fontId="54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1" fillId="0" borderId="0" applyNumberFormat="0" applyFill="0" applyBorder="0" applyAlignment="0" applyProtection="0">
      <alignment vertical="top"/>
      <protection locked="0"/>
    </xf>
    <xf numFmtId="236" fontId="122" fillId="0" borderId="56" applyFont="0" applyFill="0" applyBorder="0">
      <alignment horizontal="right" vertical="center"/>
    </xf>
    <xf numFmtId="237" fontId="75" fillId="0" borderId="56" applyFill="0" applyBorder="0" applyProtection="0">
      <alignment horizontal="right" vertical="center"/>
    </xf>
    <xf numFmtId="0" fontId="82" fillId="0" borderId="64">
      <protection locked="0"/>
    </xf>
    <xf numFmtId="0" fontId="68" fillId="0" borderId="64">
      <protection locked="0"/>
    </xf>
    <xf numFmtId="223" fontId="82" fillId="0" borderId="0">
      <protection locked="0"/>
    </xf>
    <xf numFmtId="0" fontId="18" fillId="0" borderId="0"/>
    <xf numFmtId="0" fontId="18" fillId="0" borderId="0"/>
    <xf numFmtId="177" fontId="101" fillId="0" borderId="0" applyFont="0" applyFill="0" applyBorder="0" applyAlignment="0" applyProtection="0"/>
    <xf numFmtId="177" fontId="101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2" fillId="0" borderId="0">
      <protection locked="0"/>
    </xf>
    <xf numFmtId="4" fontId="82" fillId="0" borderId="0">
      <protection locked="0"/>
    </xf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9" fontId="54" fillId="0" borderId="0"/>
    <xf numFmtId="240" fontId="67" fillId="0" borderId="0"/>
    <xf numFmtId="241" fontId="70" fillId="0" borderId="0"/>
    <xf numFmtId="178" fontId="22" fillId="0" borderId="0" applyFont="0" applyFill="0" applyBorder="0" applyAlignment="0" applyProtection="0"/>
    <xf numFmtId="242" fontId="123" fillId="0" borderId="0">
      <protection locked="0"/>
    </xf>
    <xf numFmtId="3" fontId="124" fillId="0" borderId="0" applyFont="0" applyFill="0" applyBorder="0" applyAlignment="0" applyProtection="0"/>
    <xf numFmtId="194" fontId="66" fillId="0" borderId="0" applyFill="0" applyBorder="0" applyAlignment="0" applyProtection="0"/>
    <xf numFmtId="194" fontId="66" fillId="0" borderId="0" applyFill="0" applyBorder="0" applyAlignment="0" applyProtection="0"/>
    <xf numFmtId="194" fontId="66" fillId="0" borderId="0" applyFill="0" applyBorder="0" applyAlignment="0" applyProtection="0"/>
    <xf numFmtId="40" fontId="69" fillId="0" borderId="0" applyFont="0" applyFill="0" applyBorder="0" applyAlignment="0" applyProtection="0"/>
    <xf numFmtId="0" fontId="125" fillId="0" borderId="0" applyNumberFormat="0" applyAlignment="0">
      <alignment horizontal="left"/>
    </xf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1" fillId="0" borderId="0" applyFont="0" applyFill="0" applyBorder="0" applyAlignment="0" applyProtection="0"/>
    <xf numFmtId="243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3" fillId="0" borderId="0">
      <protection locked="0"/>
    </xf>
    <xf numFmtId="244" fontId="123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6" fontId="126" fillId="0" borderId="56" applyFill="0" applyBorder="0" applyAlignment="0"/>
    <xf numFmtId="0" fontId="18" fillId="0" borderId="0"/>
    <xf numFmtId="247" fontId="123" fillId="0" borderId="0">
      <protection locked="0"/>
    </xf>
    <xf numFmtId="223" fontId="68" fillId="0" borderId="0">
      <protection locked="0"/>
    </xf>
    <xf numFmtId="248" fontId="124" fillId="0" borderId="0" applyFont="0" applyFill="0" applyBorder="0" applyAlignment="0" applyProtection="0"/>
    <xf numFmtId="249" fontId="54" fillId="0" borderId="0"/>
    <xf numFmtId="250" fontId="67" fillId="0" borderId="0"/>
    <xf numFmtId="251" fontId="64" fillId="0" borderId="0"/>
    <xf numFmtId="0" fontId="82" fillId="0" borderId="0">
      <protection locked="0"/>
    </xf>
    <xf numFmtId="188" fontId="54" fillId="0" borderId="0">
      <protection locked="0"/>
    </xf>
    <xf numFmtId="0" fontId="18" fillId="0" borderId="0"/>
    <xf numFmtId="0" fontId="18" fillId="0" borderId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52" fontId="54" fillId="0" borderId="0"/>
    <xf numFmtId="253" fontId="67" fillId="0" borderId="0"/>
    <xf numFmtId="254" fontId="54" fillId="0" borderId="0"/>
    <xf numFmtId="0" fontId="18" fillId="0" borderId="0"/>
    <xf numFmtId="0" fontId="68" fillId="0" borderId="0">
      <protection locked="0"/>
    </xf>
    <xf numFmtId="0" fontId="68" fillId="0" borderId="0">
      <protection locked="0"/>
    </xf>
    <xf numFmtId="255" fontId="54" fillId="0" borderId="0">
      <protection locked="0"/>
    </xf>
    <xf numFmtId="256" fontId="5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7" fillId="0" borderId="0" applyNumberFormat="0" applyAlignment="0">
      <alignment horizontal="left"/>
    </xf>
    <xf numFmtId="0" fontId="18" fillId="0" borderId="0"/>
    <xf numFmtId="257" fontId="128" fillId="0" borderId="0" applyFont="0" applyFill="0" applyBorder="0" applyAlignment="0" applyProtection="0"/>
    <xf numFmtId="258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259" fontId="123" fillId="0" borderId="0">
      <protection locked="0"/>
    </xf>
    <xf numFmtId="260" fontId="54" fillId="0" borderId="0">
      <protection locked="0"/>
    </xf>
    <xf numFmtId="0" fontId="82" fillId="0" borderId="0"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3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4" fillId="65" borderId="0" applyNumberFormat="0" applyBorder="0" applyAlignment="0" applyProtection="0"/>
    <xf numFmtId="38" fontId="134" fillId="66" borderId="0" applyNumberFormat="0" applyBorder="0" applyAlignment="0" applyProtection="0"/>
    <xf numFmtId="3" fontId="66" fillId="0" borderId="65">
      <alignment horizontal="right" vertical="center"/>
    </xf>
    <xf numFmtId="4" fontId="66" fillId="0" borderId="65">
      <alignment horizontal="right" vertical="center"/>
    </xf>
    <xf numFmtId="0" fontId="18" fillId="0" borderId="0"/>
    <xf numFmtId="0" fontId="135" fillId="0" borderId="0">
      <alignment horizontal="left"/>
    </xf>
    <xf numFmtId="0" fontId="136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7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7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3" fontId="68" fillId="0" borderId="0">
      <protection locked="0"/>
    </xf>
    <xf numFmtId="0" fontId="13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3" fontId="68" fillId="0" borderId="0">
      <protection locked="0"/>
    </xf>
    <xf numFmtId="0" fontId="1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5" fillId="0" borderId="0">
      <protection locked="0"/>
    </xf>
    <xf numFmtId="261" fontId="54" fillId="0" borderId="0">
      <protection locked="0"/>
    </xf>
    <xf numFmtId="0" fontId="85" fillId="0" borderId="0">
      <protection locked="0"/>
    </xf>
    <xf numFmtId="261" fontId="54" fillId="0" borderId="0">
      <protection locked="0"/>
    </xf>
    <xf numFmtId="0" fontId="18" fillId="0" borderId="0"/>
    <xf numFmtId="0" fontId="141" fillId="0" borderId="0" applyNumberFormat="0" applyFill="0" applyBorder="0" applyAlignment="0" applyProtection="0"/>
    <xf numFmtId="0" fontId="142" fillId="0" borderId="68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4" fillId="67" borderId="56" applyNumberFormat="0" applyBorder="0" applyAlignment="0" applyProtection="0"/>
    <xf numFmtId="10" fontId="134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7" fillId="0" borderId="56">
      <alignment horizontal="center"/>
    </xf>
    <xf numFmtId="262" fontId="73" fillId="0" borderId="59" applyFont="0" applyFill="0" applyBorder="0">
      <alignment horizontal="right" vertical="center"/>
    </xf>
    <xf numFmtId="263" fontId="75" fillId="0" borderId="56" applyFill="0" applyBorder="0" applyProtection="0">
      <alignment horizontal="right" vertical="center"/>
    </xf>
    <xf numFmtId="264" fontId="75" fillId="0" borderId="56" applyFont="0" applyFill="0" applyBorder="0">
      <alignment horizontal="right" vertical="center"/>
    </xf>
    <xf numFmtId="0" fontId="75" fillId="0" borderId="56" applyFill="0" applyBorder="0" applyProtection="0">
      <alignment horizontal="right" vertical="center"/>
    </xf>
    <xf numFmtId="265" fontId="73" fillId="0" borderId="56" applyFill="0" applyBorder="0" applyProtection="0">
      <alignment horizontal="right" vertical="center"/>
    </xf>
    <xf numFmtId="266" fontId="122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6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3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269" fontId="75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48" fillId="0" borderId="0">
      <alignment horizontal="left"/>
    </xf>
    <xf numFmtId="0" fontId="149" fillId="0" borderId="0"/>
    <xf numFmtId="0" fontId="150" fillId="0" borderId="0"/>
    <xf numFmtId="0" fontId="149" fillId="0" borderId="0"/>
    <xf numFmtId="0" fontId="150" fillId="0" borderId="0"/>
    <xf numFmtId="0" fontId="151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3" fillId="0" borderId="0" applyFont="0" applyFill="0" applyBorder="0">
      <alignment vertical="center"/>
    </xf>
    <xf numFmtId="0" fontId="18" fillId="0" borderId="0"/>
    <xf numFmtId="0" fontId="152" fillId="0" borderId="70"/>
    <xf numFmtId="0" fontId="152" fillId="0" borderId="70"/>
    <xf numFmtId="0" fontId="153" fillId="0" borderId="70"/>
    <xf numFmtId="0" fontId="153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4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4" fillId="0" borderId="0" applyNumberFormat="0" applyFont="0" applyFill="0" applyBorder="0" applyAlignment="0">
      <alignment vertical="center"/>
    </xf>
    <xf numFmtId="37" fontId="155" fillId="0" borderId="0"/>
    <xf numFmtId="0" fontId="64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49" fillId="0" borderId="0"/>
    <xf numFmtId="0" fontId="150" fillId="0" borderId="0"/>
    <xf numFmtId="0" fontId="150" fillId="0" borderId="0"/>
    <xf numFmtId="0" fontId="18" fillId="0" borderId="0"/>
    <xf numFmtId="272" fontId="23" fillId="0" borderId="0"/>
    <xf numFmtId="260" fontId="54" fillId="0" borderId="0"/>
    <xf numFmtId="273" fontId="67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6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3" fillId="0" borderId="0">
      <protection locked="0"/>
    </xf>
    <xf numFmtId="274" fontId="123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0" fontId="82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58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69" fillId="0" borderId="0"/>
    <xf numFmtId="0" fontId="159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3" fillId="0" borderId="0"/>
    <xf numFmtId="40" fontId="160" fillId="0" borderId="0" applyBorder="0">
      <alignment horizontal="right"/>
    </xf>
    <xf numFmtId="276" fontId="161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2" fillId="0" borderId="0" applyFill="0" applyBorder="0" applyProtection="0">
      <alignment horizontal="centerContinuous" vertical="center"/>
    </xf>
    <xf numFmtId="0" fontId="73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8" fillId="0" borderId="0"/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4" fillId="0" borderId="0" applyFill="0" applyBorder="0" applyProtection="0">
      <alignment horizontal="centerContinuous" vertical="center"/>
    </xf>
    <xf numFmtId="277" fontId="73" fillId="0" borderId="59" applyFill="0" applyBorder="0">
      <alignment horizontal="right" vertical="center"/>
    </xf>
    <xf numFmtId="278" fontId="67" fillId="0" borderId="0" applyFill="0" applyBorder="0" applyProtection="0"/>
    <xf numFmtId="279" fontId="67" fillId="0" borderId="56" applyFont="0" applyFill="0" applyBorder="0" applyProtection="0">
      <alignment horizontal="right" vertical="center"/>
    </xf>
    <xf numFmtId="280" fontId="67" fillId="0" borderId="56" applyFont="0" applyFill="0" applyBorder="0">
      <alignment horizontal="right" vertical="center"/>
    </xf>
    <xf numFmtId="0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74">
      <protection locked="0"/>
    </xf>
    <xf numFmtId="261" fontId="54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5" fillId="0" borderId="56" applyFont="0" applyFill="0" applyBorder="0">
      <alignment horizontal="right" vertical="center"/>
    </xf>
    <xf numFmtId="0" fontId="25" fillId="0" borderId="2">
      <alignment horizontal="left"/>
    </xf>
    <xf numFmtId="37" fontId="134" fillId="68" borderId="0" applyNumberFormat="0" applyBorder="0" applyAlignment="0" applyProtection="0"/>
    <xf numFmtId="37" fontId="134" fillId="0" borderId="0"/>
    <xf numFmtId="3" fontId="165" fillId="0" borderId="68" applyProtection="0"/>
    <xf numFmtId="282" fontId="69" fillId="0" borderId="0" applyFont="0" applyFill="0" applyBorder="0" applyAlignment="0" applyProtection="0"/>
    <xf numFmtId="283" fontId="6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6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7" fillId="0" borderId="51"/>
    <xf numFmtId="0" fontId="16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4" fillId="0" borderId="0" applyFont="0" applyFill="0" applyBorder="0" applyAlignment="0" applyProtection="0">
      <alignment horizontal="right"/>
    </xf>
    <xf numFmtId="0" fontId="97" fillId="59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7" fillId="61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7" fillId="62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285" fontId="73" fillId="0" borderId="75">
      <alignment horizontal="right" vertical="center"/>
    </xf>
    <xf numFmtId="286" fontId="67" fillId="0" borderId="0"/>
    <xf numFmtId="0" fontId="16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50" borderId="6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287" fontId="67" fillId="0" borderId="0">
      <protection locked="0"/>
    </xf>
    <xf numFmtId="0" fontId="54" fillId="0" borderId="0">
      <protection locked="0"/>
    </xf>
    <xf numFmtId="0" fontId="67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73" fillId="0" borderId="0"/>
    <xf numFmtId="0" fontId="66" fillId="0" borderId="0" applyNumberFormat="0" applyFont="0" applyAlignment="0">
      <alignment horizontal="center" vertical="center"/>
    </xf>
    <xf numFmtId="37" fontId="64" fillId="0" borderId="76">
      <alignment horizontal="center" vertical="center"/>
    </xf>
    <xf numFmtId="37" fontId="64" fillId="0" borderId="28" applyAlignment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9" fontId="54" fillId="0" borderId="0" applyNumberFormat="0" applyFill="0" applyBorder="0" applyAlignment="0">
      <alignment horizontal="left"/>
    </xf>
    <xf numFmtId="37" fontId="75" fillId="0" borderId="56" applyFont="0" applyFill="0" applyBorder="0">
      <alignment vertical="center"/>
    </xf>
    <xf numFmtId="38" fontId="128" fillId="0" borderId="0"/>
    <xf numFmtId="177" fontId="62" fillId="0" borderId="3">
      <alignment horizontal="center" vertical="center"/>
    </xf>
    <xf numFmtId="177" fontId="62" fillId="0" borderId="3">
      <alignment horizontal="center" vertical="center"/>
    </xf>
    <xf numFmtId="290" fontId="71" fillId="0" borderId="77" applyFont="0" applyFill="0" applyBorder="0" applyAlignment="0">
      <alignment horizontal="left" vertical="center"/>
    </xf>
    <xf numFmtId="0" fontId="174" fillId="44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3" fontId="69" fillId="0" borderId="78">
      <alignment horizontal="center"/>
    </xf>
    <xf numFmtId="0" fontId="67" fillId="69" borderId="0">
      <alignment horizontal="left"/>
    </xf>
    <xf numFmtId="0" fontId="82" fillId="0" borderId="0">
      <protection locked="0"/>
    </xf>
    <xf numFmtId="0" fontId="82" fillId="0" borderId="0">
      <protection locked="0"/>
    </xf>
    <xf numFmtId="0" fontId="71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1" fillId="0" borderId="65">
      <alignment vertical="center"/>
    </xf>
    <xf numFmtId="0" fontId="67" fillId="0" borderId="0"/>
    <xf numFmtId="0" fontId="54" fillId="45" borderId="72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5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4" fillId="0" borderId="0" applyNumberFormat="0" applyFont="0" applyFill="0" applyBorder="0" applyProtection="0">
      <alignment horizontal="distributed" vertical="center" justifyLastLine="1"/>
    </xf>
    <xf numFmtId="0" fontId="82" fillId="0" borderId="0">
      <protection locked="0"/>
    </xf>
    <xf numFmtId="0" fontId="92" fillId="0" borderId="0">
      <protection locked="0"/>
    </xf>
    <xf numFmtId="0" fontId="67" fillId="0" borderId="0" applyFont="0" applyFill="0" applyBorder="0" applyProtection="0">
      <alignment horizontal="center" vertical="center"/>
    </xf>
    <xf numFmtId="0" fontId="67" fillId="0" borderId="0" applyFont="0" applyFill="0" applyBorder="0" applyProtection="0">
      <alignment horizontal="center" vertical="center"/>
    </xf>
    <xf numFmtId="9" fontId="128" fillId="66" borderId="0" applyFill="0" applyBorder="0" applyProtection="0">
      <alignment horizontal="right"/>
    </xf>
    <xf numFmtId="9" fontId="61" fillId="0" borderId="0" applyFont="0" applyFill="0" applyBorder="0" applyAlignment="0" applyProtection="0"/>
    <xf numFmtId="10" fontId="128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246" fontId="54" fillId="0" borderId="60" applyFont="0" applyFill="0" applyBorder="0" applyAlignment="0" applyProtection="0">
      <alignment vertical="center"/>
    </xf>
    <xf numFmtId="291" fontId="54" fillId="70" borderId="79" applyFont="0" applyFill="0" applyBorder="0" applyAlignment="0" applyProtection="0">
      <alignment vertical="center"/>
    </xf>
    <xf numFmtId="292" fontId="54" fillId="0" borderId="0" applyFont="0" applyFill="0" applyBorder="0" applyAlignment="0" applyProtection="0"/>
    <xf numFmtId="293" fontId="54" fillId="0" borderId="3"/>
    <xf numFmtId="294" fontId="54" fillId="0" borderId="3"/>
    <xf numFmtId="0" fontId="5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78" fillId="0" borderId="0"/>
    <xf numFmtId="0" fontId="179" fillId="5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3" fontId="66" fillId="0" borderId="80">
      <alignment vertical="center"/>
    </xf>
    <xf numFmtId="295" fontId="54" fillId="0" borderId="81" applyFont="0" applyFill="0" applyAlignment="0" applyProtection="0">
      <alignment horizontal="center" vertical="center"/>
    </xf>
    <xf numFmtId="0" fontId="181" fillId="0" borderId="0"/>
    <xf numFmtId="296" fontId="173" fillId="0" borderId="57" applyBorder="0"/>
    <xf numFmtId="0" fontId="96" fillId="0" borderId="0">
      <alignment vertical="center"/>
    </xf>
    <xf numFmtId="0" fontId="182" fillId="0" borderId="0"/>
    <xf numFmtId="0" fontId="100" fillId="0" borderId="0" applyNumberFormat="0" applyFont="0" applyFill="0" applyBorder="0" applyProtection="0">
      <alignment horizontal="centerContinuous" vertical="center"/>
    </xf>
    <xf numFmtId="0" fontId="84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3" fillId="0" borderId="3">
      <alignment vertical="center"/>
    </xf>
    <xf numFmtId="3" fontId="84" fillId="0" borderId="56"/>
    <xf numFmtId="0" fontId="84" fillId="0" borderId="56"/>
    <xf numFmtId="3" fontId="84" fillId="0" borderId="82"/>
    <xf numFmtId="3" fontId="84" fillId="0" borderId="42"/>
    <xf numFmtId="0" fontId="184" fillId="0" borderId="56"/>
    <xf numFmtId="0" fontId="185" fillId="0" borderId="0">
      <alignment horizontal="center"/>
    </xf>
    <xf numFmtId="0" fontId="186" fillId="0" borderId="83">
      <alignment horizont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64" borderId="63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1" fillId="0" borderId="0">
      <alignment vertical="center"/>
    </xf>
    <xf numFmtId="242" fontId="192" fillId="0" borderId="77" applyFont="0" applyAlignment="0" applyProtection="0">
      <alignment vertical="center"/>
    </xf>
    <xf numFmtId="0" fontId="192" fillId="0" borderId="77" applyFont="0" applyAlignment="0" applyProtection="0">
      <alignment vertical="center"/>
    </xf>
    <xf numFmtId="0" fontId="193" fillId="0" borderId="56" applyFont="0" applyFill="0" applyBorder="0" applyAlignment="0" applyProtection="0">
      <alignment horizontal="centerContinuous" vertical="center"/>
    </xf>
    <xf numFmtId="3" fontId="67" fillId="0" borderId="0" applyFont="0" applyFill="0" applyBorder="0" applyAlignment="0" applyProtection="0"/>
    <xf numFmtId="261" fontId="194" fillId="0" borderId="0">
      <alignment vertical="center"/>
    </xf>
    <xf numFmtId="0" fontId="54" fillId="0" borderId="0">
      <alignment vertical="center"/>
    </xf>
    <xf numFmtId="0" fontId="194" fillId="0" borderId="0">
      <alignment vertical="center"/>
    </xf>
    <xf numFmtId="207" fontId="100" fillId="0" borderId="0" applyFont="0" applyFill="0" applyBorder="0" applyAlignment="0" applyProtection="0">
      <alignment horizontal="centerContinuous" vertical="center"/>
    </xf>
    <xf numFmtId="226" fontId="10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298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9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201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201" fontId="54" fillId="0" borderId="0" applyFont="0" applyFill="0" applyBorder="0" applyAlignment="0" applyProtection="0"/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6" fillId="0" borderId="0"/>
    <xf numFmtId="0" fontId="196" fillId="0" borderId="0"/>
    <xf numFmtId="0" fontId="196" fillId="0" borderId="0"/>
    <xf numFmtId="0" fontId="196" fillId="0" borderId="0"/>
    <xf numFmtId="0" fontId="71" fillId="0" borderId="0"/>
    <xf numFmtId="0" fontId="22" fillId="0" borderId="0"/>
    <xf numFmtId="0" fontId="196" fillId="0" borderId="0"/>
    <xf numFmtId="0" fontId="6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23" fillId="0" borderId="0" applyFont="0" applyFill="0" applyBorder="0" applyAlignment="0" applyProtection="0"/>
    <xf numFmtId="0" fontId="54" fillId="0" borderId="0"/>
    <xf numFmtId="178" fontId="128" fillId="0" borderId="0" applyFont="0" applyFill="0" applyBorder="0" applyAlignment="0" applyProtection="0"/>
    <xf numFmtId="178" fontId="128" fillId="0" borderId="0" applyFont="0" applyFill="0" applyBorder="0" applyAlignment="0" applyProtection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9" fillId="0" borderId="0" applyFont="0" applyFill="0" applyBorder="0" applyAlignment="0" applyProtection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0" fontId="22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21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7" fillId="0" borderId="0"/>
    <xf numFmtId="0" fontId="22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197" fillId="0" borderId="44" applyFill="0" applyBorder="0">
      <alignment horizontal="left" vertical="center"/>
    </xf>
    <xf numFmtId="0" fontId="76" fillId="0" borderId="59"/>
    <xf numFmtId="306" fontId="71" fillId="0" borderId="0">
      <alignment horizontal="left" vertical="center"/>
    </xf>
    <xf numFmtId="0" fontId="198" fillId="0" borderId="69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307" fontId="71" fillId="0" borderId="0">
      <alignment horizontal="left" vertical="center"/>
    </xf>
    <xf numFmtId="308" fontId="71" fillId="0" borderId="0">
      <alignment horizontal="left" vertical="center"/>
    </xf>
    <xf numFmtId="309" fontId="71" fillId="0" borderId="0">
      <alignment horizontal="left" vertical="center"/>
    </xf>
    <xf numFmtId="0" fontId="200" fillId="0" borderId="0" applyNumberFormat="0" applyFill="0" applyBorder="0" applyAlignment="0" applyProtection="0">
      <alignment vertical="top"/>
      <protection locked="0"/>
    </xf>
    <xf numFmtId="0" fontId="201" fillId="0" borderId="84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310" fontId="75" fillId="68" borderId="56">
      <alignment horizontal="right" vertical="center"/>
    </xf>
    <xf numFmtId="311" fontId="54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229" fontId="54" fillId="0" borderId="0" applyFont="0" applyFill="0" applyBorder="0" applyAlignment="0" applyProtection="0"/>
    <xf numFmtId="0" fontId="204" fillId="0" borderId="0">
      <alignment vertical="center"/>
    </xf>
    <xf numFmtId="0" fontId="205" fillId="0" borderId="0">
      <alignment horizontal="center" vertical="center"/>
    </xf>
    <xf numFmtId="3" fontId="54" fillId="0" borderId="56"/>
    <xf numFmtId="0" fontId="34" fillId="0" borderId="56" applyNumberFormat="0" applyAlignment="0">
      <alignment horizontal="center" vertical="center"/>
    </xf>
    <xf numFmtId="0" fontId="100" fillId="0" borderId="0" applyNumberFormat="0" applyFont="0" applyFill="0" applyBorder="0" applyProtection="0">
      <alignment vertical="center"/>
    </xf>
    <xf numFmtId="0" fontId="81" fillId="0" borderId="0"/>
    <xf numFmtId="0" fontId="206" fillId="49" borderId="6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4" fontId="82" fillId="0" borderId="0">
      <protection locked="0"/>
    </xf>
    <xf numFmtId="0" fontId="173" fillId="0" borderId="0"/>
    <xf numFmtId="4" fontId="82" fillId="0" borderId="0">
      <protection locked="0"/>
    </xf>
    <xf numFmtId="4" fontId="82" fillId="0" borderId="0">
      <protection locked="0"/>
    </xf>
    <xf numFmtId="312" fontId="67" fillId="0" borderId="0">
      <protection locked="0"/>
    </xf>
    <xf numFmtId="0" fontId="54" fillId="0" borderId="0">
      <protection locked="0"/>
    </xf>
    <xf numFmtId="3" fontId="208" fillId="0" borderId="0" applyFont="0" applyFill="0" applyBorder="0" applyAlignment="0" applyProtection="0"/>
    <xf numFmtId="313" fontId="71" fillId="0" borderId="51">
      <alignment vertical="center"/>
    </xf>
    <xf numFmtId="227" fontId="71" fillId="0" borderId="51">
      <alignment vertical="center"/>
    </xf>
    <xf numFmtId="314" fontId="71" fillId="0" borderId="51">
      <alignment vertical="center"/>
    </xf>
    <xf numFmtId="0" fontId="64" fillId="0" borderId="0" applyNumberFormat="0" applyFont="0" applyBorder="0" applyAlignment="0"/>
    <xf numFmtId="1" fontId="64" fillId="66" borderId="0" applyNumberFormat="0" applyFont="0" applyFill="0" applyBorder="0" applyAlignment="0">
      <alignment vertical="center"/>
    </xf>
    <xf numFmtId="1" fontId="64" fillId="0" borderId="0" applyBorder="0">
      <alignment vertical="center"/>
    </xf>
    <xf numFmtId="1" fontId="209" fillId="66" borderId="0" applyNumberFormat="0" applyBorder="0" applyAlignment="0">
      <alignment vertical="center"/>
    </xf>
    <xf numFmtId="0" fontId="210" fillId="0" borderId="85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67" fillId="0" borderId="0">
      <alignment vertical="center"/>
    </xf>
    <xf numFmtId="0" fontId="212" fillId="0" borderId="0">
      <alignment horizontal="centerContinuous" vertical="center"/>
    </xf>
    <xf numFmtId="0" fontId="213" fillId="0" borderId="86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5" fillId="0" borderId="67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67" fillId="0" borderId="56">
      <alignment horizontal="distributed" vertical="center"/>
    </xf>
    <xf numFmtId="0" fontId="67" fillId="0" borderId="56">
      <alignment horizontal="distributed" vertical="center" justifyLastLine="1"/>
    </xf>
    <xf numFmtId="0" fontId="67" fillId="0" borderId="57">
      <alignment horizontal="distributed" vertical="top"/>
    </xf>
    <xf numFmtId="0" fontId="67" fillId="0" borderId="57">
      <alignment horizontal="distributed" vertical="top" justifyLastLine="1"/>
    </xf>
    <xf numFmtId="0" fontId="67" fillId="0" borderId="87">
      <alignment horizontal="distributed"/>
    </xf>
    <xf numFmtId="0" fontId="67" fillId="0" borderId="87">
      <alignment horizontal="distributed" justifyLastLine="1"/>
    </xf>
    <xf numFmtId="315" fontId="219" fillId="0" borderId="0">
      <alignment vertical="center"/>
    </xf>
    <xf numFmtId="179" fontId="219" fillId="0" borderId="0">
      <alignment vertical="center"/>
    </xf>
    <xf numFmtId="0" fontId="220" fillId="46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>
      <alignment vertical="center"/>
    </xf>
    <xf numFmtId="0" fontId="67" fillId="0" borderId="0"/>
    <xf numFmtId="1" fontId="222" fillId="66" borderId="0" applyNumberFormat="0" applyFont="0" applyFill="0" applyBorder="0" applyAlignment="0">
      <alignment vertical="center"/>
    </xf>
    <xf numFmtId="177" fontId="54" fillId="0" borderId="0" applyFont="0" applyFill="0" applyBorder="0" applyAlignment="0" applyProtection="0">
      <alignment vertical="center"/>
    </xf>
    <xf numFmtId="0" fontId="223" fillId="50" borderId="7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261" fontId="225" fillId="0" borderId="0" applyFont="0" applyFill="0" applyBorder="0" applyAlignment="0" applyProtection="0">
      <alignment vertical="center"/>
    </xf>
    <xf numFmtId="0" fontId="92" fillId="0" borderId="0">
      <protection locked="0"/>
    </xf>
    <xf numFmtId="0" fontId="67" fillId="0" borderId="0" applyFont="0" applyFill="0" applyBorder="0" applyProtection="0">
      <alignment vertical="center"/>
    </xf>
    <xf numFmtId="38" fontId="84" fillId="0" borderId="0" applyFont="0" applyFill="0" applyBorder="0" applyProtection="0">
      <alignment vertical="center"/>
    </xf>
    <xf numFmtId="0" fontId="92" fillId="0" borderId="0">
      <protection locked="0"/>
    </xf>
    <xf numFmtId="177" fontId="54" fillId="0" borderId="0" applyFont="0" applyFill="0" applyBorder="0" applyAlignment="0" applyProtection="0"/>
    <xf numFmtId="261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2" fillId="0" borderId="24">
      <alignment horizontal="center" vertical="center"/>
    </xf>
    <xf numFmtId="177" fontId="192" fillId="0" borderId="24">
      <alignment horizontal="center" vertical="center"/>
    </xf>
    <xf numFmtId="179" fontId="67" fillId="0" borderId="0" applyFont="0" applyFill="0" applyBorder="0" applyAlignment="0" applyProtection="0"/>
    <xf numFmtId="316" fontId="54" fillId="0" borderId="0" applyFont="0" applyFill="0" applyBorder="0" applyAlignment="0" applyProtection="0"/>
    <xf numFmtId="317" fontId="54" fillId="0" borderId="0" applyFont="0" applyFill="0" applyBorder="0" applyAlignment="0" applyProtection="0"/>
    <xf numFmtId="318" fontId="54" fillId="0" borderId="80" applyFont="0" applyFill="0" applyBorder="0" applyAlignment="0" applyProtection="0">
      <alignment vertical="center"/>
    </xf>
    <xf numFmtId="319" fontId="54" fillId="0" borderId="60" applyFont="0" applyFill="0" applyBorder="0" applyAlignment="0" applyProtection="0">
      <alignment vertical="center"/>
    </xf>
    <xf numFmtId="320" fontId="128" fillId="66" borderId="0" applyFill="0" applyBorder="0" applyProtection="0">
      <alignment horizontal="right"/>
    </xf>
    <xf numFmtId="0" fontId="128" fillId="66" borderId="0" applyFill="0" applyBorder="0" applyProtection="0">
      <alignment horizontal="right"/>
    </xf>
    <xf numFmtId="0" fontId="54" fillId="66" borderId="0" applyFill="0" applyBorder="0" applyProtection="0">
      <alignment horizontal="right"/>
    </xf>
    <xf numFmtId="9" fontId="100" fillId="0" borderId="0"/>
    <xf numFmtId="245" fontId="128" fillId="0" borderId="0" applyFont="0" applyFill="0" applyBorder="0" applyAlignment="0" applyProtection="0"/>
    <xf numFmtId="38" fontId="84" fillId="0" borderId="0" applyFont="0" applyFill="0" applyBorder="0" applyAlignment="0" applyProtection="0">
      <alignment vertical="center"/>
    </xf>
    <xf numFmtId="297" fontId="84" fillId="0" borderId="0" applyFont="0" applyFill="0" applyBorder="0" applyAlignment="0" applyProtection="0">
      <alignment vertical="center"/>
    </xf>
    <xf numFmtId="38" fontId="84" fillId="0" borderId="0" applyFill="0" applyBorder="0" applyAlignment="0" applyProtection="0">
      <alignment vertical="center"/>
    </xf>
    <xf numFmtId="321" fontId="54" fillId="65" borderId="56" applyFont="0" applyFill="0" applyBorder="0" applyAlignment="0" applyProtection="0"/>
    <xf numFmtId="322" fontId="54" fillId="0" borderId="3" applyFont="0" applyFill="0" applyBorder="0" applyAlignment="0" applyProtection="0"/>
    <xf numFmtId="323" fontId="54" fillId="0" borderId="88" applyFont="0" applyFill="0" applyBorder="0" applyAlignment="0" applyProtection="0"/>
    <xf numFmtId="324" fontId="54" fillId="0" borderId="60" applyFont="0" applyFill="0" applyBorder="0" applyAlignment="0" applyProtection="0"/>
    <xf numFmtId="325" fontId="54" fillId="0" borderId="3"/>
    <xf numFmtId="326" fontId="71" fillId="0" borderId="0" applyFont="0" applyFill="0" applyBorder="0" applyAlignment="0" applyProtection="0">
      <alignment textRotation="255"/>
    </xf>
    <xf numFmtId="327" fontId="71" fillId="0" borderId="0" applyFont="0" applyFill="0" applyBorder="0" applyAlignment="0" applyProtection="0">
      <alignment textRotation="255"/>
    </xf>
    <xf numFmtId="328" fontId="123" fillId="0" borderId="56">
      <alignment vertical="center"/>
    </xf>
    <xf numFmtId="329" fontId="71" fillId="0" borderId="0" applyFont="0" applyFill="0" applyBorder="0" applyAlignment="0" applyProtection="0">
      <alignment textRotation="255"/>
    </xf>
    <xf numFmtId="315" fontId="64" fillId="0" borderId="43" applyFont="0" applyFill="0" applyBorder="0" applyAlignment="0" applyProtection="0">
      <alignment vertical="center"/>
    </xf>
    <xf numFmtId="0" fontId="73" fillId="0" borderId="0"/>
    <xf numFmtId="0" fontId="71" fillId="0" borderId="0" applyFont="0" applyFill="0" applyBorder="0" applyAlignment="0" applyProtection="0"/>
    <xf numFmtId="220" fontId="54" fillId="0" borderId="0" applyFont="0" applyFill="0" applyBorder="0" applyAlignment="0" applyProtection="0"/>
    <xf numFmtId="3" fontId="67" fillId="0" borderId="51"/>
    <xf numFmtId="0" fontId="226" fillId="0" borderId="0">
      <alignment horizontal="centerContinuous"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176" fontId="54" fillId="0" borderId="0" applyFont="0" applyFill="0" applyBorder="0" applyAlignment="0" applyProtection="0">
      <alignment vertical="center"/>
    </xf>
    <xf numFmtId="176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76" fontId="54" fillId="0" borderId="0" applyFont="0" applyFill="0" applyBorder="0" applyAlignment="0" applyProtection="0">
      <alignment vertical="center"/>
    </xf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230" fontId="67" fillId="0" borderId="0" applyFon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64" fillId="0" borderId="87">
      <alignment horizontal="distributed"/>
    </xf>
    <xf numFmtId="0" fontId="64" fillId="0" borderId="87">
      <alignment horizontal="distributed" justifyLastLine="1"/>
    </xf>
    <xf numFmtId="0" fontId="64" fillId="0" borderId="89">
      <alignment horizontal="distributed" vertical="center"/>
    </xf>
    <xf numFmtId="0" fontId="64" fillId="0" borderId="89">
      <alignment horizontal="distributed" vertical="center" justifyLastLine="1"/>
    </xf>
    <xf numFmtId="0" fontId="64" fillId="0" borderId="90">
      <alignment horizontal="distributed" vertical="top"/>
    </xf>
    <xf numFmtId="0" fontId="64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4" fillId="0" borderId="0"/>
    <xf numFmtId="0" fontId="54" fillId="0" borderId="0"/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29" fillId="0" borderId="0">
      <alignment vertical="center"/>
    </xf>
    <xf numFmtId="0" fontId="9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86" fillId="0" borderId="0">
      <alignment vertical="center"/>
    </xf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73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 applyNumberFormat="0" applyFont="0" applyFill="0" applyBorder="0" applyProtection="0">
      <alignment vertical="center"/>
    </xf>
    <xf numFmtId="0" fontId="18" fillId="0" borderId="0"/>
    <xf numFmtId="0" fontId="67" fillId="0" borderId="3">
      <alignment vertical="center" wrapText="1"/>
    </xf>
    <xf numFmtId="0" fontId="100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 applyNumberFormat="0" applyFill="0" applyBorder="0" applyAlignment="0" applyProtection="0">
      <alignment vertical="top"/>
      <protection locked="0"/>
    </xf>
    <xf numFmtId="331" fontId="231" fillId="0" borderId="60"/>
    <xf numFmtId="0" fontId="82" fillId="0" borderId="64">
      <protection locked="0"/>
    </xf>
    <xf numFmtId="0" fontId="82" fillId="0" borderId="64">
      <protection locked="0"/>
    </xf>
    <xf numFmtId="332" fontId="67" fillId="0" borderId="0">
      <protection locked="0"/>
    </xf>
    <xf numFmtId="3" fontId="128" fillId="0" borderId="91">
      <alignment vertical="center"/>
    </xf>
    <xf numFmtId="0" fontId="18" fillId="0" borderId="0"/>
    <xf numFmtId="333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334" fontId="67" fillId="0" borderId="0">
      <protection locked="0"/>
    </xf>
    <xf numFmtId="0" fontId="67" fillId="0" borderId="0">
      <protection locked="0"/>
    </xf>
    <xf numFmtId="38" fontId="71" fillId="0" borderId="0" applyNumberFormat="0" applyFont="0" applyFill="0" applyBorder="0" applyAlignment="0" applyProtection="0">
      <protection locked="0"/>
    </xf>
    <xf numFmtId="179" fontId="67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4" fillId="0" borderId="0"/>
    <xf numFmtId="177" fontId="234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6" fillId="0" borderId="0" applyFont="0" applyFill="0" applyBorder="0" applyAlignment="0" applyProtection="0">
      <alignment vertical="center"/>
    </xf>
    <xf numFmtId="0" fontId="239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182" fontId="39" fillId="0" borderId="0" xfId="1" applyNumberFormat="1" applyFont="1" applyAlignment="1">
      <alignment horizontal="center" vertical="center"/>
    </xf>
    <xf numFmtId="49" fontId="47" fillId="2" borderId="0" xfId="0" applyNumberFormat="1" applyFont="1" applyFill="1" applyAlignment="1">
      <alignment horizontal="center" vertical="center" wrapText="1"/>
    </xf>
    <xf numFmtId="0" fontId="22" fillId="0" borderId="25" xfId="3" applyFont="1" applyBorder="1" applyAlignment="1">
      <alignment horizontal="center" vertical="center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6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6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5" fillId="0" borderId="0" xfId="13" applyFont="1" applyAlignment="1">
      <alignment vertical="center" shrinkToFit="1"/>
    </xf>
    <xf numFmtId="0" fontId="59" fillId="0" borderId="0" xfId="13" applyFont="1" applyAlignment="1">
      <alignment vertical="center" shrinkToFit="1"/>
    </xf>
    <xf numFmtId="0" fontId="60" fillId="0" borderId="38" xfId="13" applyFont="1" applyBorder="1" applyAlignment="1">
      <alignment horizontal="center" vertical="center" shrinkToFit="1"/>
    </xf>
    <xf numFmtId="0" fontId="60" fillId="0" borderId="39" xfId="13" applyFont="1" applyBorder="1" applyAlignment="1">
      <alignment horizontal="center" vertical="center" shrinkToFit="1"/>
    </xf>
    <xf numFmtId="184" fontId="60" fillId="0" borderId="39" xfId="13" applyNumberFormat="1" applyFont="1" applyBorder="1" applyAlignment="1">
      <alignment horizontal="center" vertical="center" shrinkToFit="1"/>
    </xf>
    <xf numFmtId="183" fontId="61" fillId="0" borderId="0" xfId="13" applyNumberFormat="1" applyFont="1" applyAlignment="1">
      <alignment horizontal="center" vertical="center" shrinkToFit="1"/>
    </xf>
    <xf numFmtId="0" fontId="60" fillId="0" borderId="42" xfId="13" applyFont="1" applyBorder="1" applyAlignment="1">
      <alignment horizontal="center" vertical="center" shrinkToFit="1"/>
    </xf>
    <xf numFmtId="0" fontId="61" fillId="0" borderId="0" xfId="13" applyFont="1" applyAlignment="1">
      <alignment horizontal="center" vertical="center" shrinkToFit="1"/>
    </xf>
    <xf numFmtId="0" fontId="60" fillId="0" borderId="44" xfId="13" applyFont="1" applyBorder="1" applyAlignment="1">
      <alignment vertical="center" shrinkToFit="1"/>
    </xf>
    <xf numFmtId="0" fontId="55" fillId="0" borderId="0" xfId="13" applyFont="1" applyAlignment="1">
      <alignment horizontal="left" vertical="center" shrinkToFit="1"/>
    </xf>
    <xf numFmtId="184" fontId="55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9" fontId="42" fillId="0" borderId="9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2" fillId="0" borderId="25" xfId="3" applyFont="1" applyBorder="1" applyAlignment="1">
      <alignment vertical="center" wrapText="1" shrinkToFit="1"/>
    </xf>
    <xf numFmtId="0" fontId="28" fillId="5" borderId="95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7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/>
    </xf>
    <xf numFmtId="0" fontId="28" fillId="0" borderId="98" xfId="6" applyFont="1" applyBorder="1" applyAlignment="1">
      <alignment horizontal="center" vertical="center" shrinkToFit="1"/>
    </xf>
    <xf numFmtId="0" fontId="28" fillId="0" borderId="99" xfId="6" applyFont="1" applyBorder="1" applyAlignment="1">
      <alignment horizontal="center" vertical="center" shrinkToFit="1"/>
    </xf>
    <xf numFmtId="177" fontId="233" fillId="6" borderId="3" xfId="1" applyFont="1" applyFill="1" applyBorder="1" applyAlignment="1">
      <alignment horizontal="center" vertical="center" wrapText="1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" fontId="42" fillId="0" borderId="0" xfId="1" applyNumberFormat="1" applyFont="1">
      <alignment vertical="center"/>
    </xf>
    <xf numFmtId="1" fontId="22" fillId="6" borderId="25" xfId="1" applyNumberFormat="1" applyFont="1" applyFill="1" applyBorder="1" applyAlignment="1">
      <alignment horizontal="center" vertical="center"/>
    </xf>
    <xf numFmtId="49" fontId="14" fillId="2" borderId="101" xfId="0" applyNumberFormat="1" applyFont="1" applyFill="1" applyBorder="1" applyAlignment="1">
      <alignment horizontal="center" vertical="center" wrapText="1"/>
    </xf>
    <xf numFmtId="49" fontId="14" fillId="2" borderId="102" xfId="0" applyNumberFormat="1" applyFont="1" applyFill="1" applyBorder="1" applyAlignment="1">
      <alignment horizontal="center" vertical="center" wrapText="1"/>
    </xf>
    <xf numFmtId="177" fontId="0" fillId="0" borderId="0" xfId="1" applyFont="1">
      <alignment vertical="center"/>
    </xf>
    <xf numFmtId="177" fontId="238" fillId="0" borderId="0" xfId="18691" applyFont="1">
      <alignment vertical="center"/>
    </xf>
    <xf numFmtId="0" fontId="239" fillId="0" borderId="0" xfId="18692">
      <alignment vertical="center"/>
    </xf>
    <xf numFmtId="0" fontId="240" fillId="4" borderId="56" xfId="18692" applyFont="1" applyFill="1" applyBorder="1" applyAlignment="1">
      <alignment horizontal="center" vertical="center"/>
    </xf>
    <xf numFmtId="177" fontId="240" fillId="4" borderId="56" xfId="18691" applyFont="1" applyFill="1" applyBorder="1" applyAlignment="1">
      <alignment horizontal="center" vertical="center"/>
    </xf>
    <xf numFmtId="0" fontId="61" fillId="0" borderId="0" xfId="18692" applyFont="1">
      <alignment vertical="center"/>
    </xf>
    <xf numFmtId="207" fontId="55" fillId="0" borderId="56" xfId="18691" applyNumberFormat="1" applyFont="1" applyFill="1" applyBorder="1" applyAlignment="1">
      <alignment horizontal="center" vertical="center"/>
    </xf>
    <xf numFmtId="0" fontId="55" fillId="0" borderId="56" xfId="18692" applyFont="1" applyBorder="1">
      <alignment vertical="center"/>
    </xf>
    <xf numFmtId="0" fontId="242" fillId="0" borderId="0" xfId="18692" applyFont="1">
      <alignment vertical="center"/>
    </xf>
    <xf numFmtId="0" fontId="242" fillId="0" borderId="0" xfId="18692" applyFont="1" applyAlignment="1">
      <alignment horizontal="center" vertical="center"/>
    </xf>
    <xf numFmtId="0" fontId="242" fillId="0" borderId="0" xfId="18692" applyFont="1" applyAlignment="1">
      <alignment horizontal="left" vertical="center"/>
    </xf>
    <xf numFmtId="0" fontId="21" fillId="0" borderId="3" xfId="0" applyFont="1" applyBorder="1" applyAlignment="1">
      <alignment horizontal="center" vertical="center" wrapText="1"/>
    </xf>
    <xf numFmtId="0" fontId="55" fillId="0" borderId="56" xfId="18691" quotePrefix="1" applyNumberFormat="1" applyFont="1" applyFill="1" applyBorder="1" applyAlignment="1">
      <alignment horizontal="left" vertical="center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4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49" fontId="22" fillId="0" borderId="3" xfId="3" applyNumberFormat="1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right" vertical="center"/>
    </xf>
    <xf numFmtId="0" fontId="42" fillId="0" borderId="3" xfId="0" applyFont="1" applyBorder="1" applyAlignment="1">
      <alignment horizontal="center" vertical="center"/>
    </xf>
    <xf numFmtId="177" fontId="42" fillId="0" borderId="3" xfId="1" applyFont="1" applyBorder="1">
      <alignment vertical="center"/>
    </xf>
    <xf numFmtId="177" fontId="42" fillId="0" borderId="3" xfId="1" applyFont="1" applyBorder="1" applyAlignment="1">
      <alignment horizontal="right" vertical="center"/>
    </xf>
    <xf numFmtId="0" fontId="42" fillId="0" borderId="3" xfId="0" applyFont="1" applyBorder="1">
      <alignment vertical="center"/>
    </xf>
    <xf numFmtId="207" fontId="21" fillId="6" borderId="3" xfId="1" applyNumberFormat="1" applyFont="1" applyFill="1" applyBorder="1" applyAlignment="1">
      <alignment horizontal="center" vertical="center" wrapText="1"/>
    </xf>
    <xf numFmtId="177" fontId="42" fillId="0" borderId="3" xfId="0" applyNumberFormat="1" applyFont="1" applyBorder="1">
      <alignment vertical="center"/>
    </xf>
    <xf numFmtId="177" fontId="242" fillId="0" borderId="0" xfId="18691" applyFont="1" applyAlignment="1">
      <alignment horizontal="center" vertical="center"/>
    </xf>
    <xf numFmtId="49" fontId="245" fillId="71" borderId="3" xfId="0" applyNumberFormat="1" applyFont="1" applyFill="1" applyBorder="1" applyAlignment="1">
      <alignment horizontal="center" vertical="center" wrapText="1"/>
    </xf>
    <xf numFmtId="49" fontId="42" fillId="7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>
      <alignment vertical="center"/>
    </xf>
    <xf numFmtId="0" fontId="42" fillId="0" borderId="3" xfId="0" applyFont="1" applyBorder="1" applyAlignment="1">
      <alignment horizontal="center" vertical="center" wrapText="1"/>
    </xf>
    <xf numFmtId="0" fontId="44" fillId="6" borderId="114" xfId="0" applyFont="1" applyFill="1" applyBorder="1" applyAlignment="1">
      <alignment horizontal="center" vertical="center"/>
    </xf>
    <xf numFmtId="2" fontId="21" fillId="6" borderId="3" xfId="1" applyNumberFormat="1" applyFont="1" applyFill="1" applyBorder="1" applyAlignment="1">
      <alignment horizontal="center" vertical="center" wrapText="1"/>
    </xf>
    <xf numFmtId="335" fontId="39" fillId="0" borderId="1" xfId="1" applyNumberFormat="1" applyFont="1" applyBorder="1" applyAlignment="1">
      <alignment horizontal="center" vertical="center"/>
    </xf>
    <xf numFmtId="9" fontId="42" fillId="0" borderId="116" xfId="2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247" fillId="0" borderId="3" xfId="3" applyFont="1" applyBorder="1" applyAlignment="1">
      <alignment horizontal="center" vertical="center" wrapText="1" shrinkToFit="1"/>
    </xf>
    <xf numFmtId="9" fontId="42" fillId="0" borderId="3" xfId="2" applyFont="1" applyBorder="1" applyAlignment="1">
      <alignment horizontal="center" vertical="center"/>
    </xf>
    <xf numFmtId="0" fontId="42" fillId="7" borderId="6" xfId="0" applyFont="1" applyFill="1" applyBorder="1">
      <alignment vertical="center"/>
    </xf>
    <xf numFmtId="0" fontId="42" fillId="7" borderId="3" xfId="0" applyFont="1" applyFill="1" applyBorder="1">
      <alignment vertical="center"/>
    </xf>
    <xf numFmtId="49" fontId="42" fillId="0" borderId="3" xfId="0" applyNumberFormat="1" applyFont="1" applyBorder="1" applyAlignment="1">
      <alignment horizontal="center" vertical="center" wrapText="1"/>
    </xf>
    <xf numFmtId="177" fontId="248" fillId="0" borderId="3" xfId="1" applyFont="1" applyFill="1" applyBorder="1" applyAlignment="1">
      <alignment horizontal="center" vertical="center" wrapText="1"/>
    </xf>
    <xf numFmtId="49" fontId="250" fillId="0" borderId="3" xfId="0" applyNumberFormat="1" applyFont="1" applyBorder="1" applyAlignment="1">
      <alignment horizontal="center" vertical="center" wrapText="1"/>
    </xf>
    <xf numFmtId="0" fontId="250" fillId="0" borderId="3" xfId="0" applyFont="1" applyBorder="1" applyAlignment="1">
      <alignment horizontal="center" vertical="center" wrapText="1"/>
    </xf>
    <xf numFmtId="49" fontId="42" fillId="0" borderId="3" xfId="0" applyNumberFormat="1" applyFont="1" applyBorder="1" applyAlignment="1">
      <alignment horizontal="center" vertical="center"/>
    </xf>
    <xf numFmtId="177" fontId="42" fillId="0" borderId="3" xfId="0" applyNumberFormat="1" applyFont="1" applyBorder="1" applyAlignment="1">
      <alignment horizontal="center" vertical="center"/>
    </xf>
    <xf numFmtId="49" fontId="42" fillId="0" borderId="3" xfId="0" applyNumberFormat="1" applyFont="1" applyBorder="1" applyAlignment="1">
      <alignment horizontal="right" vertical="center"/>
    </xf>
    <xf numFmtId="207" fontId="42" fillId="6" borderId="3" xfId="1" applyNumberFormat="1" applyFont="1" applyFill="1" applyBorder="1" applyAlignment="1">
      <alignment horizontal="center" vertical="center"/>
    </xf>
    <xf numFmtId="2" fontId="42" fillId="6" borderId="3" xfId="1" applyNumberFormat="1" applyFont="1" applyFill="1" applyBorder="1" applyAlignment="1">
      <alignment horizontal="center" vertical="center"/>
    </xf>
    <xf numFmtId="9" fontId="21" fillId="0" borderId="3" xfId="2" applyFont="1" applyBorder="1" applyAlignment="1">
      <alignment horizontal="center" vertical="center"/>
    </xf>
    <xf numFmtId="49" fontId="55" fillId="5" borderId="56" xfId="18692" quotePrefix="1" applyNumberFormat="1" applyFont="1" applyFill="1" applyBorder="1" applyAlignment="1">
      <alignment horizontal="center" vertical="center" wrapText="1"/>
    </xf>
    <xf numFmtId="0" fontId="44" fillId="0" borderId="0" xfId="0" applyFont="1" applyFill="1">
      <alignment vertical="center"/>
    </xf>
    <xf numFmtId="0" fontId="42" fillId="0" borderId="0" xfId="0" applyFont="1" applyFill="1">
      <alignment vertical="center"/>
    </xf>
    <xf numFmtId="0" fontId="42" fillId="0" borderId="0" xfId="0" applyFont="1" applyFill="1" applyAlignment="1">
      <alignment vertical="center" wrapText="1"/>
    </xf>
    <xf numFmtId="1" fontId="42" fillId="0" borderId="0" xfId="1" applyNumberFormat="1" applyFont="1" applyFill="1">
      <alignment vertical="center"/>
    </xf>
    <xf numFmtId="0" fontId="42" fillId="0" borderId="0" xfId="0" applyFont="1" applyFill="1" applyAlignment="1">
      <alignment horizontal="center" vertical="center"/>
    </xf>
    <xf numFmtId="0" fontId="44" fillId="72" borderId="115" xfId="0" applyFont="1" applyFill="1" applyBorder="1" applyAlignment="1">
      <alignment horizontal="center" vertical="center"/>
    </xf>
    <xf numFmtId="177" fontId="251" fillId="72" borderId="100" xfId="0" applyNumberFormat="1" applyFont="1" applyFill="1" applyBorder="1">
      <alignment vertical="center"/>
    </xf>
    <xf numFmtId="0" fontId="251" fillId="0" borderId="0" xfId="0" applyFont="1">
      <alignment vertical="center"/>
    </xf>
    <xf numFmtId="177" fontId="251" fillId="0" borderId="100" xfId="0" applyNumberFormat="1" applyFont="1" applyBorder="1">
      <alignment vertical="center"/>
    </xf>
    <xf numFmtId="177" fontId="251" fillId="0" borderId="0" xfId="0" applyNumberFormat="1" applyFont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5" fillId="0" borderId="0" xfId="0" applyFont="1" applyAlignment="1">
      <alignment horizontal="center" vertical="center"/>
    </xf>
    <xf numFmtId="0" fontId="232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9" borderId="93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56" fillId="0" borderId="0" xfId="13" applyFont="1" applyAlignment="1">
      <alignment horizontal="center" vertical="center" shrinkToFit="1"/>
    </xf>
    <xf numFmtId="0" fontId="57" fillId="0" borderId="0" xfId="13" applyFont="1" applyAlignment="1">
      <alignment horizontal="center" vertical="center" shrinkToFit="1"/>
    </xf>
    <xf numFmtId="176" fontId="58" fillId="0" borderId="0" xfId="14" applyFont="1" applyBorder="1" applyAlignment="1">
      <alignment horizontal="center" vertical="center" shrinkToFit="1"/>
    </xf>
    <xf numFmtId="31" fontId="60" fillId="0" borderId="40" xfId="13" applyNumberFormat="1" applyFont="1" applyBorder="1" applyAlignment="1">
      <alignment horizontal="center" vertical="center" shrinkToFit="1"/>
    </xf>
    <xf numFmtId="31" fontId="60" fillId="0" borderId="41" xfId="13" applyNumberFormat="1" applyFont="1" applyBorder="1" applyAlignment="1">
      <alignment horizontal="center" vertical="center" shrinkToFit="1"/>
    </xf>
    <xf numFmtId="0" fontId="60" fillId="0" borderId="43" xfId="13" applyFont="1" applyBorder="1" applyAlignment="1">
      <alignment horizontal="left" vertical="center" indent="1" shrinkToFit="1"/>
    </xf>
    <xf numFmtId="0" fontId="60" fillId="0" borderId="44" xfId="13" applyFont="1" applyBorder="1" applyAlignment="1">
      <alignment horizontal="left" vertical="center" indent="1" shrinkToFit="1"/>
    </xf>
    <xf numFmtId="0" fontId="60" fillId="0" borderId="45" xfId="13" applyFont="1" applyBorder="1" applyAlignment="1">
      <alignment horizontal="left" vertical="center" indent="1" shrinkToFit="1"/>
    </xf>
    <xf numFmtId="0" fontId="60" fillId="0" borderId="46" xfId="13" applyFont="1" applyBorder="1" applyAlignment="1">
      <alignment horizontal="center" vertical="center" shrinkToFit="1"/>
    </xf>
    <xf numFmtId="0" fontId="60" fillId="0" borderId="50" xfId="13" applyFont="1" applyBorder="1" applyAlignment="1">
      <alignment horizontal="center" vertical="center" shrinkToFit="1"/>
    </xf>
    <xf numFmtId="0" fontId="60" fillId="0" borderId="53" xfId="13" applyFont="1" applyBorder="1" applyAlignment="1">
      <alignment horizontal="center" vertical="center" shrinkToFit="1"/>
    </xf>
    <xf numFmtId="0" fontId="62" fillId="5" borderId="47" xfId="13" applyFont="1" applyFill="1" applyBorder="1" applyAlignment="1">
      <alignment horizontal="left" vertical="center" shrinkToFit="1"/>
    </xf>
    <xf numFmtId="0" fontId="62" fillId="5" borderId="48" xfId="13" applyFont="1" applyFill="1" applyBorder="1" applyAlignment="1">
      <alignment horizontal="left" vertical="center" shrinkToFit="1"/>
    </xf>
    <xf numFmtId="0" fontId="62" fillId="5" borderId="49" xfId="13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177" fontId="55" fillId="5" borderId="51" xfId="15" quotePrefix="1" applyFont="1" applyFill="1" applyBorder="1" applyAlignment="1">
      <alignment horizontal="left" vertical="center" shrinkToFit="1"/>
    </xf>
    <xf numFmtId="177" fontId="55" fillId="5" borderId="0" xfId="15" quotePrefix="1" applyFont="1" applyFill="1" applyBorder="1" applyAlignment="1">
      <alignment horizontal="left" vertical="center" shrinkToFit="1"/>
    </xf>
    <xf numFmtId="177" fontId="55" fillId="5" borderId="52" xfId="15" quotePrefix="1" applyFont="1" applyFill="1" applyBorder="1" applyAlignment="1">
      <alignment horizontal="left" vertical="center" shrinkToFit="1"/>
    </xf>
    <xf numFmtId="0" fontId="62" fillId="5" borderId="51" xfId="16" applyFont="1" applyFill="1" applyBorder="1" applyAlignment="1">
      <alignment horizontal="left" vertical="center" shrinkToFit="1"/>
    </xf>
    <xf numFmtId="0" fontId="63" fillId="5" borderId="0" xfId="16" applyFont="1" applyFill="1" applyAlignment="1">
      <alignment horizontal="left" vertical="center" shrinkToFit="1"/>
    </xf>
    <xf numFmtId="0" fontId="63" fillId="5" borderId="52" xfId="16" applyFont="1" applyFill="1" applyBorder="1" applyAlignment="1">
      <alignment horizontal="left" vertical="center" shrinkToFit="1"/>
    </xf>
    <xf numFmtId="0" fontId="60" fillId="0" borderId="44" xfId="13" applyFont="1" applyBorder="1" applyAlignment="1">
      <alignment horizontal="center" vertical="center" shrinkToFit="1"/>
    </xf>
    <xf numFmtId="0" fontId="60" fillId="0" borderId="45" xfId="13" applyFont="1" applyBorder="1" applyAlignment="1">
      <alignment horizontal="center" vertical="center" shrinkToFit="1"/>
    </xf>
    <xf numFmtId="177" fontId="243" fillId="5" borderId="51" xfId="15" quotePrefix="1" applyFont="1" applyFill="1" applyBorder="1" applyAlignment="1">
      <alignment horizontal="left" vertical="center" shrinkToFit="1"/>
    </xf>
    <xf numFmtId="177" fontId="243" fillId="5" borderId="0" xfId="15" quotePrefix="1" applyFont="1" applyFill="1" applyBorder="1" applyAlignment="1">
      <alignment horizontal="left" vertical="center" shrinkToFit="1"/>
    </xf>
    <xf numFmtId="177" fontId="243" fillId="5" borderId="52" xfId="15" quotePrefix="1" applyFont="1" applyFill="1" applyBorder="1" applyAlignment="1">
      <alignment horizontal="left" vertical="center" shrinkToFit="1"/>
    </xf>
    <xf numFmtId="0" fontId="62" fillId="5" borderId="0" xfId="16" applyFont="1" applyFill="1" applyAlignment="1">
      <alignment horizontal="left" vertical="center" shrinkToFit="1"/>
    </xf>
    <xf numFmtId="0" fontId="62" fillId="5" borderId="52" xfId="16" applyFont="1" applyFill="1" applyBorder="1" applyAlignment="1">
      <alignment horizontal="left" vertical="center" shrinkToFit="1"/>
    </xf>
    <xf numFmtId="0" fontId="60" fillId="5" borderId="51" xfId="13" applyFont="1" applyFill="1" applyBorder="1" applyAlignment="1">
      <alignment horizontal="left" vertical="center" shrinkToFit="1"/>
    </xf>
    <xf numFmtId="0" fontId="60" fillId="5" borderId="0" xfId="13" applyFont="1" applyFill="1" applyAlignment="1">
      <alignment horizontal="left" vertical="center" shrinkToFit="1"/>
    </xf>
    <xf numFmtId="0" fontId="60" fillId="5" borderId="52" xfId="13" applyFont="1" applyFill="1" applyBorder="1" applyAlignment="1">
      <alignment horizontal="left" vertical="center" shrinkToFit="1"/>
    </xf>
    <xf numFmtId="177" fontId="55" fillId="5" borderId="51" xfId="15" quotePrefix="1" applyFont="1" applyFill="1" applyBorder="1" applyAlignment="1">
      <alignment horizontal="center" vertical="center" shrinkToFit="1"/>
    </xf>
    <xf numFmtId="177" fontId="55" fillId="5" borderId="0" xfId="15" quotePrefix="1" applyFont="1" applyFill="1" applyBorder="1" applyAlignment="1">
      <alignment horizontal="center" vertical="center" shrinkToFit="1"/>
    </xf>
    <xf numFmtId="177" fontId="55" fillId="5" borderId="52" xfId="15" quotePrefix="1" applyFont="1" applyFill="1" applyBorder="1" applyAlignment="1">
      <alignment horizontal="center" vertical="center" shrinkToFit="1"/>
    </xf>
    <xf numFmtId="177" fontId="237" fillId="0" borderId="0" xfId="18691" applyFont="1" applyAlignment="1">
      <alignment horizontal="center" vertical="center"/>
    </xf>
    <xf numFmtId="0" fontId="240" fillId="0" borderId="56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9</xdr:row>
      <xdr:rowOff>209550</xdr:rowOff>
    </xdr:from>
    <xdr:to>
      <xdr:col>3</xdr:col>
      <xdr:colOff>1724026</xdr:colOff>
      <xdr:row>32</xdr:row>
      <xdr:rowOff>1906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520083-643A-4480-A808-E6494100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200275"/>
          <a:ext cx="6063615" cy="4840606"/>
        </a:xfrm>
        <a:prstGeom prst="rect">
          <a:avLst/>
        </a:prstGeom>
      </xdr:spPr>
    </xdr:pic>
    <xdr:clientData/>
  </xdr:twoCellAnchor>
  <xdr:twoCellAnchor>
    <xdr:from>
      <xdr:col>2</xdr:col>
      <xdr:colOff>1981199</xdr:colOff>
      <xdr:row>22</xdr:row>
      <xdr:rowOff>76199</xdr:rowOff>
    </xdr:from>
    <xdr:to>
      <xdr:col>3</xdr:col>
      <xdr:colOff>714374</xdr:colOff>
      <xdr:row>22</xdr:row>
      <xdr:rowOff>190500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0C5D373-B6CB-471D-8164-722E2049FEE6}"/>
            </a:ext>
          </a:extLst>
        </xdr:cNvPr>
        <xdr:cNvSpPr/>
      </xdr:nvSpPr>
      <xdr:spPr>
        <a:xfrm>
          <a:off x="3848099" y="4924424"/>
          <a:ext cx="2352675" cy="1143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2004059</xdr:colOff>
      <xdr:row>26</xdr:row>
      <xdr:rowOff>160019</xdr:rowOff>
    </xdr:from>
    <xdr:to>
      <xdr:col>3</xdr:col>
      <xdr:colOff>727709</xdr:colOff>
      <xdr:row>27</xdr:row>
      <xdr:rowOff>57150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50349BF-B4AF-4096-B8FA-F5B1CBFD1220}"/>
            </a:ext>
          </a:extLst>
        </xdr:cNvPr>
        <xdr:cNvSpPr/>
      </xdr:nvSpPr>
      <xdr:spPr>
        <a:xfrm>
          <a:off x="3870959" y="5884544"/>
          <a:ext cx="2343150" cy="11620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32</xdr:row>
      <xdr:rowOff>40340</xdr:rowOff>
    </xdr:from>
    <xdr:to>
      <xdr:col>4</xdr:col>
      <xdr:colOff>741268</xdr:colOff>
      <xdr:row>32</xdr:row>
      <xdr:rowOff>619796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topLeftCell="A14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1" spans="1:9" ht="33">
      <c r="A1" s="181" t="s">
        <v>119</v>
      </c>
      <c r="B1" s="181"/>
      <c r="C1" s="181"/>
      <c r="D1" s="181"/>
      <c r="E1" s="181"/>
      <c r="F1" s="181"/>
      <c r="G1" s="181"/>
      <c r="H1" s="118"/>
    </row>
    <row r="2" spans="1:9" ht="14.25">
      <c r="A2" s="117"/>
      <c r="B2" s="117"/>
      <c r="C2" s="117"/>
      <c r="D2" s="117"/>
      <c r="E2" s="117"/>
      <c r="F2" s="117"/>
      <c r="G2" s="117"/>
      <c r="H2" s="117"/>
    </row>
    <row r="3" spans="1:9" ht="14.25">
      <c r="A3" s="117"/>
      <c r="B3" s="117"/>
      <c r="C3" s="117"/>
      <c r="D3" s="117"/>
      <c r="E3" s="117"/>
      <c r="H3" s="117"/>
    </row>
    <row r="4" spans="1:9" ht="27" customHeight="1">
      <c r="A4" s="6" t="s">
        <v>92</v>
      </c>
      <c r="B4" s="65"/>
      <c r="C4" s="66"/>
      <c r="D4" s="117"/>
      <c r="E4" s="117"/>
      <c r="F4" s="87" t="s">
        <v>62</v>
      </c>
      <c r="G4" s="88" t="s">
        <v>63</v>
      </c>
      <c r="H4" s="117"/>
    </row>
    <row r="5" spans="1:9" ht="27" customHeight="1">
      <c r="A5" s="117"/>
      <c r="B5" s="117"/>
      <c r="C5" s="117"/>
      <c r="D5" s="117"/>
      <c r="E5" s="117"/>
      <c r="F5" s="89" t="s">
        <v>84</v>
      </c>
      <c r="G5" s="90" t="s">
        <v>64</v>
      </c>
      <c r="H5" s="117"/>
    </row>
    <row r="6" spans="1:9" ht="27" customHeight="1">
      <c r="A6" s="6" t="s">
        <v>144</v>
      </c>
      <c r="B6" s="119"/>
      <c r="C6" s="120"/>
      <c r="D6" s="117"/>
      <c r="E6" s="121"/>
      <c r="F6" s="91" t="s">
        <v>85</v>
      </c>
      <c r="G6" s="90" t="s">
        <v>65</v>
      </c>
      <c r="H6" s="117"/>
    </row>
    <row r="7" spans="1:9" ht="27" customHeight="1">
      <c r="A7" s="117"/>
      <c r="B7" s="117"/>
      <c r="C7" s="117"/>
      <c r="D7" s="117"/>
      <c r="E7" s="117"/>
      <c r="F7" s="89" t="s">
        <v>66</v>
      </c>
      <c r="G7" s="90" t="s">
        <v>98</v>
      </c>
      <c r="H7" s="117"/>
    </row>
    <row r="8" spans="1:9" ht="27" customHeight="1">
      <c r="A8" s="6" t="s">
        <v>145</v>
      </c>
      <c r="B8" s="122"/>
      <c r="C8" s="123"/>
      <c r="D8" s="117"/>
      <c r="E8" s="117"/>
      <c r="F8" s="89" t="s">
        <v>86</v>
      </c>
      <c r="G8" s="90" t="s">
        <v>87</v>
      </c>
      <c r="H8" s="117"/>
    </row>
    <row r="9" spans="1:9" ht="27" customHeight="1">
      <c r="A9" s="117"/>
      <c r="B9" s="117"/>
      <c r="C9" s="117"/>
      <c r="D9" s="117"/>
      <c r="E9" s="117"/>
      <c r="F9" s="92" t="s">
        <v>88</v>
      </c>
      <c r="G9" s="93" t="s">
        <v>89</v>
      </c>
      <c r="H9" s="117"/>
      <c r="I9" s="117"/>
    </row>
    <row r="10" spans="1:9" ht="27" customHeight="1">
      <c r="A10" s="182"/>
      <c r="B10" s="183"/>
      <c r="C10" s="183"/>
      <c r="D10" s="117"/>
      <c r="E10" s="124"/>
      <c r="F10" s="94" t="s">
        <v>90</v>
      </c>
      <c r="G10" s="95" t="s">
        <v>91</v>
      </c>
      <c r="H10" s="124"/>
    </row>
    <row r="11" spans="1:9" ht="18.75" thickBot="1">
      <c r="A11" s="125" t="s">
        <v>23</v>
      </c>
      <c r="B11" s="125" t="str">
        <f>NUMBERSTRING(F31,1)</f>
        <v>일백육십칠만팔천</v>
      </c>
      <c r="C11" s="126"/>
      <c r="D11" s="127" t="s">
        <v>120</v>
      </c>
      <c r="E11" s="7" t="s">
        <v>24</v>
      </c>
      <c r="F11" s="7" t="s">
        <v>24</v>
      </c>
      <c r="G11" s="8"/>
      <c r="H11" s="128"/>
    </row>
    <row r="12" spans="1:9" ht="15.75" thickTop="1" thickBot="1">
      <c r="A12" s="117"/>
      <c r="B12" s="117"/>
      <c r="C12" s="117"/>
      <c r="D12" s="117"/>
      <c r="E12" s="117"/>
      <c r="F12" s="117"/>
      <c r="G12" s="117"/>
      <c r="H12" s="128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121</v>
      </c>
      <c r="E13" s="10" t="s">
        <v>28</v>
      </c>
      <c r="F13" s="10" t="s">
        <v>29</v>
      </c>
      <c r="G13" s="11" t="s">
        <v>30</v>
      </c>
      <c r="H13" s="128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'내역서(표준단가)'!K24</f>
        <v>491915.51999999996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'내역서(표준단가)'!M24</f>
        <v>956645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'내역서(표준단가)'!O24+'내역서(표준단가)'!Q24</f>
        <v>0</v>
      </c>
      <c r="G17" s="24"/>
    </row>
    <row r="18" spans="1:7" s="4" customFormat="1" ht="33" customHeight="1">
      <c r="A18" s="18"/>
      <c r="B18" s="19" t="s">
        <v>67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122</v>
      </c>
      <c r="C19" s="25"/>
      <c r="D19" s="26"/>
      <c r="E19" s="26"/>
      <c r="F19" s="27">
        <f>F15+F16+F17+F18</f>
        <v>1448560.52</v>
      </c>
      <c r="G19" s="24"/>
    </row>
    <row r="20" spans="1:7" s="4" customFormat="1" ht="33" customHeight="1">
      <c r="A20" s="18"/>
      <c r="B20" s="129" t="s">
        <v>35</v>
      </c>
      <c r="C20" s="130"/>
      <c r="D20" s="21"/>
      <c r="E20" s="21"/>
      <c r="F20" s="28"/>
      <c r="G20" s="24"/>
    </row>
    <row r="21" spans="1:7" s="4" customFormat="1" ht="33" customHeight="1">
      <c r="A21" s="18"/>
      <c r="B21" s="131" t="s">
        <v>123</v>
      </c>
      <c r="C21" s="130" t="s">
        <v>124</v>
      </c>
      <c r="D21" s="19">
        <v>1</v>
      </c>
      <c r="E21" s="19" t="s">
        <v>36</v>
      </c>
      <c r="F21" s="29">
        <f>(F15+F16)*3.11%</f>
        <v>45050.232171999996</v>
      </c>
      <c r="G21" s="24" t="s">
        <v>37</v>
      </c>
    </row>
    <row r="22" spans="1:7" s="4" customFormat="1" ht="33" customHeight="1">
      <c r="A22" s="18"/>
      <c r="B22" s="131" t="s">
        <v>125</v>
      </c>
      <c r="C22" s="130" t="s">
        <v>126</v>
      </c>
      <c r="D22" s="19">
        <v>1</v>
      </c>
      <c r="E22" s="19" t="s">
        <v>36</v>
      </c>
      <c r="F22" s="29">
        <f>F16*3.56%</f>
        <v>34056.561999999998</v>
      </c>
      <c r="G22" s="24" t="s">
        <v>37</v>
      </c>
    </row>
    <row r="23" spans="1:7" s="4" customFormat="1" ht="33" customHeight="1">
      <c r="A23" s="18"/>
      <c r="B23" s="131" t="s">
        <v>127</v>
      </c>
      <c r="C23" s="130" t="s">
        <v>128</v>
      </c>
      <c r="D23" s="19">
        <v>1</v>
      </c>
      <c r="E23" s="19" t="s">
        <v>36</v>
      </c>
      <c r="F23" s="132">
        <f>F16*1.01%</f>
        <v>9662.1144999999997</v>
      </c>
      <c r="G23" s="24" t="s">
        <v>37</v>
      </c>
    </row>
    <row r="24" spans="1:7" s="4" customFormat="1" ht="33" customHeight="1">
      <c r="A24" s="18"/>
      <c r="B24" s="131" t="s">
        <v>129</v>
      </c>
      <c r="C24" s="133" t="s">
        <v>136</v>
      </c>
      <c r="D24" s="19">
        <v>1</v>
      </c>
      <c r="E24" s="19" t="s">
        <v>130</v>
      </c>
      <c r="F24" s="29">
        <f>F16*3.595%</f>
        <v>34391.387750000002</v>
      </c>
      <c r="G24" s="24" t="s">
        <v>37</v>
      </c>
    </row>
    <row r="25" spans="1:7" s="4" customFormat="1" ht="33" customHeight="1">
      <c r="A25" s="18"/>
      <c r="B25" s="131" t="s">
        <v>131</v>
      </c>
      <c r="C25" s="133" t="s">
        <v>137</v>
      </c>
      <c r="D25" s="19">
        <v>1</v>
      </c>
      <c r="E25" s="19" t="s">
        <v>36</v>
      </c>
      <c r="F25" s="29">
        <f>F16*4.75%</f>
        <v>45440.637499999997</v>
      </c>
      <c r="G25" s="24" t="s">
        <v>37</v>
      </c>
    </row>
    <row r="26" spans="1:7" s="4" customFormat="1" ht="33" customHeight="1">
      <c r="A26" s="18"/>
      <c r="B26" s="131" t="s">
        <v>132</v>
      </c>
      <c r="C26" s="134" t="s">
        <v>133</v>
      </c>
      <c r="D26" s="19">
        <v>1</v>
      </c>
      <c r="E26" s="19" t="s">
        <v>36</v>
      </c>
      <c r="F26" s="29">
        <f>F24*13.14%</f>
        <v>4519.0283503500004</v>
      </c>
      <c r="G26" s="24" t="s">
        <v>37</v>
      </c>
    </row>
    <row r="27" spans="1:7" s="4" customFormat="1" ht="33" customHeight="1">
      <c r="A27" s="18"/>
      <c r="B27" s="131" t="s">
        <v>51</v>
      </c>
      <c r="C27" s="135" t="s">
        <v>134</v>
      </c>
      <c r="D27" s="19">
        <v>1</v>
      </c>
      <c r="E27" s="19" t="s">
        <v>36</v>
      </c>
      <c r="F27" s="29">
        <f>SUM(F16+F21+F22+F23+F24+F25+F26)*5%</f>
        <v>56488.248113617505</v>
      </c>
      <c r="G27" s="24"/>
    </row>
    <row r="28" spans="1:7" s="4" customFormat="1" ht="33" customHeight="1">
      <c r="A28" s="18"/>
      <c r="B28" s="25" t="s">
        <v>122</v>
      </c>
      <c r="C28" s="30"/>
      <c r="D28" s="31"/>
      <c r="E28" s="26"/>
      <c r="F28" s="32">
        <f>SUM(F21,F22,F23,F24,F25,F26,F27)</f>
        <v>229608.21038596751</v>
      </c>
      <c r="G28" s="24"/>
    </row>
    <row r="29" spans="1:7" s="4" customFormat="1" ht="33" customHeight="1">
      <c r="A29" s="18"/>
      <c r="B29" s="130"/>
      <c r="C29" s="136"/>
      <c r="D29" s="33"/>
      <c r="E29" s="21"/>
      <c r="F29" s="34"/>
      <c r="G29" s="24"/>
    </row>
    <row r="30" spans="1:7" s="4" customFormat="1" ht="33" customHeight="1">
      <c r="A30" s="18"/>
      <c r="B30" s="137"/>
      <c r="C30" s="136"/>
      <c r="D30" s="33"/>
      <c r="E30" s="21"/>
      <c r="F30" s="35">
        <f>F19+F28+F29</f>
        <v>1678168.7303859675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1678000</v>
      </c>
      <c r="G31" s="24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1:G1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5"/>
  <sheetViews>
    <sheetView showGridLines="0" zoomScale="70" zoomScaleNormal="70" workbookViewId="0">
      <pane xSplit="5" topLeftCell="F1" activePane="topRight" state="frozen"/>
      <selection pane="topRight" activeCell="A19" sqref="A19"/>
    </sheetView>
  </sheetViews>
  <sheetFormatPr defaultColWidth="9" defaultRowHeight="33" customHeight="1"/>
  <cols>
    <col min="1" max="1" width="14.25" style="58" customWidth="1"/>
    <col min="2" max="2" width="11" style="43" hidden="1" customWidth="1"/>
    <col min="3" max="3" width="19.875" style="43" hidden="1" customWidth="1"/>
    <col min="4" max="4" width="17" style="43" hidden="1" customWidth="1"/>
    <col min="5" max="5" width="13.25" style="43" hidden="1" customWidth="1"/>
    <col min="6" max="6" width="37.125" style="84" bestFit="1" customWidth="1"/>
    <col min="7" max="7" width="41.625" style="84" bestFit="1" customWidth="1"/>
    <col min="8" max="8" width="8.375" style="43" customWidth="1"/>
    <col min="9" max="9" width="8.125" style="100" bestFit="1" customWidth="1"/>
    <col min="10" max="10" width="10.75" style="43" bestFit="1" customWidth="1"/>
    <col min="11" max="11" width="13" style="43" bestFit="1" customWidth="1"/>
    <col min="12" max="12" width="10.375" style="43" bestFit="1" customWidth="1"/>
    <col min="13" max="13" width="13" style="43" bestFit="1" customWidth="1"/>
    <col min="14" max="14" width="10.375" style="43" hidden="1" customWidth="1"/>
    <col min="15" max="15" width="10.75" style="43" hidden="1" customWidth="1"/>
    <col min="16" max="16" width="10.625" style="43" hidden="1" customWidth="1"/>
    <col min="17" max="17" width="10.875" style="43" hidden="1" customWidth="1"/>
    <col min="18" max="18" width="12.125" style="43" customWidth="1"/>
    <col min="19" max="19" width="11.875" style="44" hidden="1" customWidth="1"/>
    <col min="20" max="20" width="17.125" style="43" bestFit="1" customWidth="1"/>
    <col min="21" max="22" width="9" style="43"/>
    <col min="23" max="23" width="11.75" style="43" bestFit="1" customWidth="1"/>
    <col min="24" max="24" width="12.375" style="43" bestFit="1" customWidth="1"/>
    <col min="25" max="25" width="11.75" style="43" bestFit="1" customWidth="1"/>
    <col min="26" max="26" width="12.375" style="43" bestFit="1" customWidth="1"/>
    <col min="27" max="27" width="10.75" style="43" bestFit="1" customWidth="1"/>
    <col min="28" max="30" width="11.75" style="43" bestFit="1" customWidth="1"/>
    <col min="31" max="16384" width="9" style="43"/>
  </cols>
  <sheetData>
    <row r="1" spans="1:31" ht="18.600000000000001" customHeight="1">
      <c r="A1" s="57"/>
      <c r="J1" s="44"/>
      <c r="K1" s="45" t="s">
        <v>52</v>
      </c>
      <c r="M1" s="45" t="s">
        <v>53</v>
      </c>
      <c r="O1" s="45" t="s">
        <v>45</v>
      </c>
      <c r="Q1" s="45" t="s">
        <v>53</v>
      </c>
    </row>
    <row r="2" spans="1:31" ht="18.600000000000001" customHeight="1" thickBot="1">
      <c r="A2" s="187"/>
      <c r="B2" s="187"/>
      <c r="C2" s="187"/>
      <c r="D2" s="187"/>
      <c r="E2" s="187"/>
      <c r="J2" s="46"/>
      <c r="K2" s="2">
        <v>0.82</v>
      </c>
      <c r="M2" s="2">
        <v>0.72</v>
      </c>
      <c r="O2" s="2">
        <v>1</v>
      </c>
      <c r="Q2" s="2">
        <v>1</v>
      </c>
    </row>
    <row r="3" spans="1:31" ht="18.600000000000001" customHeight="1">
      <c r="A3" s="62"/>
      <c r="B3" s="62" t="s">
        <v>54</v>
      </c>
      <c r="C3" s="59"/>
      <c r="D3" s="59"/>
      <c r="E3" s="59"/>
      <c r="F3" s="198" t="s">
        <v>68</v>
      </c>
      <c r="G3" s="199"/>
      <c r="H3" s="194" t="s">
        <v>40</v>
      </c>
      <c r="I3" s="196" t="s">
        <v>41</v>
      </c>
      <c r="J3" s="190" t="s">
        <v>55</v>
      </c>
      <c r="K3" s="190"/>
      <c r="L3" s="190" t="s">
        <v>46</v>
      </c>
      <c r="M3" s="190"/>
      <c r="N3" s="191" t="s">
        <v>42</v>
      </c>
      <c r="O3" s="191"/>
      <c r="P3" s="191" t="s">
        <v>47</v>
      </c>
      <c r="Q3" s="191"/>
      <c r="R3" s="192" t="s">
        <v>56</v>
      </c>
      <c r="S3" s="188" t="s">
        <v>57</v>
      </c>
      <c r="T3" s="185" t="s">
        <v>82</v>
      </c>
      <c r="Z3" s="184"/>
      <c r="AA3" s="184"/>
      <c r="AB3" s="184"/>
      <c r="AC3" s="184"/>
      <c r="AD3" s="184"/>
      <c r="AE3" s="184"/>
    </row>
    <row r="4" spans="1:31" ht="18.600000000000001" customHeight="1">
      <c r="A4" s="63" t="s">
        <v>58</v>
      </c>
      <c r="B4" s="64" t="s">
        <v>93</v>
      </c>
      <c r="C4" s="64" t="s">
        <v>94</v>
      </c>
      <c r="D4" s="64" t="s">
        <v>95</v>
      </c>
      <c r="E4" s="64" t="s">
        <v>96</v>
      </c>
      <c r="F4" s="85" t="s">
        <v>59</v>
      </c>
      <c r="G4" s="85" t="s">
        <v>48</v>
      </c>
      <c r="H4" s="195"/>
      <c r="I4" s="197"/>
      <c r="J4" s="47" t="s">
        <v>97</v>
      </c>
      <c r="K4" s="48" t="s">
        <v>43</v>
      </c>
      <c r="L4" s="47" t="s">
        <v>60</v>
      </c>
      <c r="M4" s="48" t="s">
        <v>43</v>
      </c>
      <c r="N4" s="48" t="s">
        <v>44</v>
      </c>
      <c r="O4" s="48" t="s">
        <v>43</v>
      </c>
      <c r="P4" s="48" t="s">
        <v>44</v>
      </c>
      <c r="Q4" s="48" t="s">
        <v>43</v>
      </c>
      <c r="R4" s="193"/>
      <c r="S4" s="189"/>
      <c r="T4" s="186"/>
      <c r="Z4" s="184"/>
      <c r="AA4" s="184"/>
      <c r="AB4" s="184"/>
      <c r="AC4" s="184"/>
      <c r="AD4" s="184"/>
      <c r="AE4" s="184"/>
    </row>
    <row r="5" spans="1:31" ht="33" customHeight="1">
      <c r="A5" s="60"/>
      <c r="B5" s="97"/>
      <c r="C5" s="97"/>
      <c r="D5" s="97"/>
      <c r="E5" s="97"/>
      <c r="F5" s="147" t="s">
        <v>146</v>
      </c>
      <c r="G5" s="98"/>
      <c r="H5" s="115"/>
      <c r="I5" s="144"/>
      <c r="J5" s="99"/>
      <c r="K5" s="96"/>
      <c r="L5" s="99"/>
      <c r="M5" s="3"/>
      <c r="N5" s="49"/>
      <c r="O5" s="3"/>
      <c r="P5" s="49"/>
      <c r="Q5" s="3"/>
      <c r="R5" s="49"/>
      <c r="S5" s="80"/>
      <c r="T5" s="82"/>
    </row>
    <row r="6" spans="1:31" ht="33" customHeight="1">
      <c r="A6" s="60" t="str">
        <f t="shared" ref="A6:A13" si="0">B6&amp;C6&amp;D6&amp;E6</f>
        <v>E00000806001030304</v>
      </c>
      <c r="B6" s="159"/>
      <c r="C6" s="97" t="s">
        <v>154</v>
      </c>
      <c r="D6" s="159"/>
      <c r="E6" s="148"/>
      <c r="F6" s="162" t="s">
        <v>158</v>
      </c>
      <c r="G6" s="150" t="s">
        <v>156</v>
      </c>
      <c r="H6" s="140" t="s">
        <v>157</v>
      </c>
      <c r="I6" s="152">
        <f>26/95</f>
        <v>0.27368421052631581</v>
      </c>
      <c r="J6" s="141"/>
      <c r="K6" s="3">
        <f t="shared" ref="K6" si="1">ROUND(J6*K$2*I6,0)</f>
        <v>0</v>
      </c>
      <c r="L6" s="142">
        <v>889354</v>
      </c>
      <c r="M6" s="3">
        <f>ROUND((L6*I6)*$M$2,0)*50%</f>
        <v>87625</v>
      </c>
      <c r="N6" s="143"/>
      <c r="O6" s="3">
        <f t="shared" ref="O6:O18" si="2">ROUND(N6*I6*$O$2,0)</f>
        <v>0</v>
      </c>
      <c r="P6" s="143"/>
      <c r="Q6" s="3">
        <f t="shared" ref="Q6:Q18" si="3">ROUND(P6*I6*$Q$2,0)</f>
        <v>0</v>
      </c>
      <c r="R6" s="49">
        <f t="shared" ref="R6:R18" si="4">SUM(K6+M6)+O6+Q6</f>
        <v>87625</v>
      </c>
      <c r="S6" s="140"/>
      <c r="T6" s="82" t="s">
        <v>153</v>
      </c>
    </row>
    <row r="7" spans="1:31" ht="33" customHeight="1">
      <c r="A7" s="60" t="str">
        <f t="shared" si="0"/>
        <v>E00000806003010101</v>
      </c>
      <c r="B7" s="159"/>
      <c r="C7" s="159" t="s">
        <v>159</v>
      </c>
      <c r="D7" s="159"/>
      <c r="E7" s="159"/>
      <c r="F7" s="163" t="s">
        <v>161</v>
      </c>
      <c r="G7" s="150" t="s">
        <v>160</v>
      </c>
      <c r="H7" s="140" t="s">
        <v>157</v>
      </c>
      <c r="I7" s="152">
        <f>26/95</f>
        <v>0.27368421052631581</v>
      </c>
      <c r="J7" s="141">
        <v>0</v>
      </c>
      <c r="K7" s="3"/>
      <c r="L7" s="141">
        <v>600987</v>
      </c>
      <c r="M7" s="3">
        <f>ROUND((L7*I7)*$M$2,0)*50%</f>
        <v>59213</v>
      </c>
      <c r="N7" s="143"/>
      <c r="O7" s="149"/>
      <c r="P7" s="143"/>
      <c r="Q7" s="149"/>
      <c r="R7" s="49">
        <f t="shared" si="4"/>
        <v>59213</v>
      </c>
      <c r="S7" s="143"/>
      <c r="T7" s="82" t="s">
        <v>153</v>
      </c>
    </row>
    <row r="8" spans="1:31" ht="33" customHeight="1">
      <c r="A8" s="60" t="str">
        <f t="shared" si="0"/>
        <v>E00000806005010101</v>
      </c>
      <c r="B8" s="97"/>
      <c r="C8" s="97" t="s">
        <v>162</v>
      </c>
      <c r="D8" s="97"/>
      <c r="E8" s="97"/>
      <c r="F8" s="163" t="s">
        <v>165</v>
      </c>
      <c r="G8" s="150" t="s">
        <v>163</v>
      </c>
      <c r="H8" s="140" t="s">
        <v>164</v>
      </c>
      <c r="I8" s="144">
        <f>2</f>
        <v>2</v>
      </c>
      <c r="J8" s="141">
        <v>0</v>
      </c>
      <c r="K8" s="3"/>
      <c r="L8" s="141">
        <v>11971</v>
      </c>
      <c r="M8" s="3">
        <f>ROUND((L8*I8)*$M$2,0)*50%</f>
        <v>8619</v>
      </c>
      <c r="N8" s="49"/>
      <c r="O8" s="3">
        <f>ROUND(N8*I8*$O$2,0)</f>
        <v>0</v>
      </c>
      <c r="P8" s="49"/>
      <c r="Q8" s="3">
        <f>ROUND(P8*I8*$Q$2,0)</f>
        <v>0</v>
      </c>
      <c r="R8" s="49">
        <f>SUM(K8+M8)+O8+Q8</f>
        <v>8619</v>
      </c>
      <c r="S8" s="157"/>
      <c r="T8" s="82" t="s">
        <v>153</v>
      </c>
    </row>
    <row r="9" spans="1:31" ht="33" customHeight="1">
      <c r="A9" s="60" t="str">
        <f t="shared" si="0"/>
        <v>E00000806001030304</v>
      </c>
      <c r="B9" s="159"/>
      <c r="C9" s="97" t="s">
        <v>154</v>
      </c>
      <c r="D9" s="159"/>
      <c r="E9" s="148"/>
      <c r="F9" s="160" t="s">
        <v>155</v>
      </c>
      <c r="G9" s="150" t="s">
        <v>156</v>
      </c>
      <c r="H9" s="140" t="s">
        <v>157</v>
      </c>
      <c r="I9" s="168">
        <f>26/95</f>
        <v>0.27368421052631581</v>
      </c>
      <c r="J9" s="141"/>
      <c r="K9" s="3">
        <f t="shared" ref="K9:K12" si="5">ROUND(J9*K$2*I9,0)</f>
        <v>0</v>
      </c>
      <c r="L9" s="142">
        <v>889354</v>
      </c>
      <c r="M9" s="3">
        <f t="shared" ref="M9:M21" si="6">ROUND((L9*I9)*$M$2,0)</f>
        <v>175250</v>
      </c>
      <c r="N9" s="143"/>
      <c r="O9" s="3">
        <f t="shared" si="2"/>
        <v>0</v>
      </c>
      <c r="P9" s="143"/>
      <c r="Q9" s="3">
        <f t="shared" si="3"/>
        <v>0</v>
      </c>
      <c r="R9" s="49">
        <f>SUM(K9+M9)+O9+Q9</f>
        <v>175250</v>
      </c>
      <c r="S9" s="140"/>
      <c r="T9" s="82"/>
    </row>
    <row r="10" spans="1:31" ht="33" customHeight="1">
      <c r="A10" s="60" t="str">
        <f t="shared" si="0"/>
        <v>999999</v>
      </c>
      <c r="B10" s="97"/>
      <c r="C10" s="97"/>
      <c r="D10" s="97">
        <v>999999</v>
      </c>
      <c r="E10" s="97"/>
      <c r="F10" s="138" t="s">
        <v>183</v>
      </c>
      <c r="G10" s="138" t="s">
        <v>184</v>
      </c>
      <c r="H10" s="138" t="s">
        <v>150</v>
      </c>
      <c r="I10" s="152">
        <f>ROUND(4+4+6,0)</f>
        <v>14</v>
      </c>
      <c r="J10" s="99">
        <v>7231</v>
      </c>
      <c r="K10" s="3">
        <f t="shared" ref="K10:K11" si="7">+I10*J10*$K$2</f>
        <v>83011.87999999999</v>
      </c>
      <c r="L10" s="139">
        <v>7764</v>
      </c>
      <c r="M10" s="3">
        <f t="shared" si="6"/>
        <v>78261</v>
      </c>
      <c r="N10" s="49"/>
      <c r="O10" s="3">
        <f t="shared" si="2"/>
        <v>0</v>
      </c>
      <c r="P10" s="49"/>
      <c r="Q10" s="3">
        <f t="shared" si="3"/>
        <v>0</v>
      </c>
      <c r="R10" s="49">
        <f t="shared" ref="R10:R11" si="8">SUM(K10+M10)+O10+Q10</f>
        <v>161272.88</v>
      </c>
      <c r="S10" s="169"/>
      <c r="T10" s="155"/>
    </row>
    <row r="11" spans="1:31" ht="33" customHeight="1">
      <c r="A11" s="60" t="str">
        <f t="shared" si="0"/>
        <v>999999</v>
      </c>
      <c r="B11" s="97"/>
      <c r="C11" s="97"/>
      <c r="D11" s="97">
        <v>999999</v>
      </c>
      <c r="E11" s="97"/>
      <c r="F11" s="138" t="s">
        <v>183</v>
      </c>
      <c r="G11" s="138" t="s">
        <v>186</v>
      </c>
      <c r="H11" s="138" t="s">
        <v>150</v>
      </c>
      <c r="I11" s="152">
        <f>9+3</f>
        <v>12</v>
      </c>
      <c r="J11" s="99">
        <v>14021</v>
      </c>
      <c r="K11" s="3">
        <f t="shared" si="7"/>
        <v>137966.63999999998</v>
      </c>
      <c r="L11" s="139">
        <v>12755</v>
      </c>
      <c r="M11" s="3">
        <f t="shared" si="6"/>
        <v>110203</v>
      </c>
      <c r="N11" s="49"/>
      <c r="O11" s="3">
        <f t="shared" si="2"/>
        <v>0</v>
      </c>
      <c r="P11" s="49"/>
      <c r="Q11" s="3">
        <f t="shared" si="3"/>
        <v>0</v>
      </c>
      <c r="R11" s="49">
        <f t="shared" si="8"/>
        <v>248169.63999999998</v>
      </c>
      <c r="S11" s="169"/>
      <c r="T11" s="155"/>
    </row>
    <row r="12" spans="1:31" ht="33" customHeight="1">
      <c r="A12" s="60" t="str">
        <f t="shared" si="0"/>
        <v>E00000806001030201</v>
      </c>
      <c r="B12" s="159"/>
      <c r="C12" s="97" t="s">
        <v>176</v>
      </c>
      <c r="D12" s="159"/>
      <c r="E12" s="148"/>
      <c r="F12" s="160" t="s">
        <v>177</v>
      </c>
      <c r="G12" s="150" t="s">
        <v>178</v>
      </c>
      <c r="H12" s="140" t="s">
        <v>179</v>
      </c>
      <c r="I12" s="167">
        <f>ROUND(26/3+8*2,0)</f>
        <v>25</v>
      </c>
      <c r="J12" s="141">
        <v>496</v>
      </c>
      <c r="K12" s="3">
        <f t="shared" si="5"/>
        <v>10168</v>
      </c>
      <c r="L12" s="142"/>
      <c r="M12" s="3">
        <f t="shared" si="6"/>
        <v>0</v>
      </c>
      <c r="N12" s="143"/>
      <c r="O12" s="3">
        <f t="shared" si="2"/>
        <v>0</v>
      </c>
      <c r="P12" s="143"/>
      <c r="Q12" s="3">
        <f t="shared" si="3"/>
        <v>0</v>
      </c>
      <c r="R12" s="49">
        <f t="shared" ref="R12:R13" si="9">SUM(K12+M12)+O12+Q12</f>
        <v>10168</v>
      </c>
      <c r="S12" s="143"/>
      <c r="T12" s="82"/>
    </row>
    <row r="13" spans="1:31" ht="33" customHeight="1">
      <c r="A13" s="60" t="str">
        <f t="shared" si="0"/>
        <v>E00000806001030104</v>
      </c>
      <c r="B13" s="159"/>
      <c r="C13" s="97" t="s">
        <v>180</v>
      </c>
      <c r="D13" s="159"/>
      <c r="E13" s="148"/>
      <c r="F13" s="160" t="s">
        <v>181</v>
      </c>
      <c r="G13" s="150" t="s">
        <v>182</v>
      </c>
      <c r="H13" s="140" t="s">
        <v>179</v>
      </c>
      <c r="I13" s="167">
        <f>ROUND(26/3+8*2,0)</f>
        <v>25</v>
      </c>
      <c r="J13" s="141"/>
      <c r="K13" s="3"/>
      <c r="L13" s="142">
        <v>14008</v>
      </c>
      <c r="M13" s="3">
        <f t="shared" si="6"/>
        <v>252144</v>
      </c>
      <c r="N13" s="143"/>
      <c r="O13" s="3">
        <f t="shared" si="2"/>
        <v>0</v>
      </c>
      <c r="P13" s="143"/>
      <c r="Q13" s="3">
        <f t="shared" si="3"/>
        <v>0</v>
      </c>
      <c r="R13" s="49">
        <f t="shared" si="9"/>
        <v>252144</v>
      </c>
      <c r="S13" s="143"/>
      <c r="T13" s="82"/>
    </row>
    <row r="14" spans="1:31" ht="33" customHeight="1">
      <c r="A14" s="60" t="str">
        <f t="shared" ref="A14:A16" si="10">B14&amp;C14&amp;D14&amp;E14</f>
        <v>M025015110050105</v>
      </c>
      <c r="B14" s="97"/>
      <c r="C14" s="97"/>
      <c r="D14" s="97" t="s">
        <v>149</v>
      </c>
      <c r="E14" s="148"/>
      <c r="F14" s="138" t="s">
        <v>151</v>
      </c>
      <c r="G14" s="138" t="s">
        <v>152</v>
      </c>
      <c r="H14" s="138" t="s">
        <v>142</v>
      </c>
      <c r="I14" s="152">
        <f>ROUND(4+4.5+5+11*1.1,0)</f>
        <v>26</v>
      </c>
      <c r="J14" s="99">
        <v>9058</v>
      </c>
      <c r="K14" s="3">
        <f t="shared" ref="K14:K21" si="11">ROUND(J14*K$2*I14,0)</f>
        <v>193117</v>
      </c>
      <c r="L14" s="139"/>
      <c r="M14" s="3">
        <f t="shared" si="6"/>
        <v>0</v>
      </c>
      <c r="N14" s="49"/>
      <c r="O14" s="3">
        <f t="shared" si="2"/>
        <v>0</v>
      </c>
      <c r="P14" s="49"/>
      <c r="Q14" s="3">
        <f t="shared" si="3"/>
        <v>0</v>
      </c>
      <c r="R14" s="49">
        <f t="shared" si="4"/>
        <v>193117</v>
      </c>
      <c r="S14" s="157"/>
      <c r="T14" s="82"/>
    </row>
    <row r="15" spans="1:31" ht="33" customHeight="1">
      <c r="A15" s="60" t="str">
        <f t="shared" si="10"/>
        <v>M02501PA10010101</v>
      </c>
      <c r="B15" s="158"/>
      <c r="C15" s="97"/>
      <c r="D15" s="97" t="s">
        <v>166</v>
      </c>
      <c r="E15" s="97"/>
      <c r="F15" s="160" t="s">
        <v>167</v>
      </c>
      <c r="G15" s="160" t="s">
        <v>168</v>
      </c>
      <c r="H15" s="164" t="s">
        <v>169</v>
      </c>
      <c r="I15" s="144">
        <f>8</f>
        <v>8</v>
      </c>
      <c r="J15" s="165">
        <v>2673</v>
      </c>
      <c r="K15" s="3">
        <f t="shared" si="11"/>
        <v>17535</v>
      </c>
      <c r="L15" s="166"/>
      <c r="M15" s="3">
        <f t="shared" si="6"/>
        <v>0</v>
      </c>
      <c r="N15" s="143"/>
      <c r="O15" s="3">
        <f t="shared" si="2"/>
        <v>0</v>
      </c>
      <c r="P15" s="143"/>
      <c r="Q15" s="3">
        <f t="shared" si="3"/>
        <v>0</v>
      </c>
      <c r="R15" s="49">
        <f t="shared" si="4"/>
        <v>17535</v>
      </c>
      <c r="S15" s="143"/>
      <c r="T15" s="82"/>
    </row>
    <row r="16" spans="1:31" ht="33" customHeight="1">
      <c r="A16" s="60" t="str">
        <f t="shared" si="10"/>
        <v>M02501QV10440101</v>
      </c>
      <c r="B16" s="159"/>
      <c r="C16" s="97"/>
      <c r="D16" s="97" t="s">
        <v>170</v>
      </c>
      <c r="E16" s="97"/>
      <c r="F16" s="150" t="s">
        <v>171</v>
      </c>
      <c r="G16" s="150" t="s">
        <v>172</v>
      </c>
      <c r="H16" s="140" t="s">
        <v>169</v>
      </c>
      <c r="I16" s="144">
        <f>2</f>
        <v>2</v>
      </c>
      <c r="J16" s="161">
        <v>1070</v>
      </c>
      <c r="K16" s="3">
        <f t="shared" si="11"/>
        <v>1755</v>
      </c>
      <c r="L16" s="143"/>
      <c r="M16" s="3">
        <f t="shared" si="6"/>
        <v>0</v>
      </c>
      <c r="N16" s="143"/>
      <c r="O16" s="3">
        <f t="shared" si="2"/>
        <v>0</v>
      </c>
      <c r="P16" s="143"/>
      <c r="Q16" s="3">
        <f t="shared" si="3"/>
        <v>0</v>
      </c>
      <c r="R16" s="49">
        <f t="shared" si="4"/>
        <v>1755</v>
      </c>
      <c r="S16" s="140"/>
      <c r="T16" s="82"/>
    </row>
    <row r="17" spans="1:20" ht="33" customHeight="1">
      <c r="A17" s="60" t="str">
        <f>B17&amp;C17&amp;D17&amp;E17</f>
        <v>M02512B710010101</v>
      </c>
      <c r="B17" s="97"/>
      <c r="C17" s="97"/>
      <c r="D17" s="97" t="s">
        <v>173</v>
      </c>
      <c r="E17" s="97"/>
      <c r="F17" s="160" t="s">
        <v>174</v>
      </c>
      <c r="G17" s="160" t="s">
        <v>175</v>
      </c>
      <c r="H17" s="164" t="s">
        <v>169</v>
      </c>
      <c r="I17" s="144">
        <f>2</f>
        <v>2</v>
      </c>
      <c r="J17" s="145">
        <v>20000</v>
      </c>
      <c r="K17" s="3">
        <f t="shared" si="11"/>
        <v>32800</v>
      </c>
      <c r="L17" s="139"/>
      <c r="M17" s="3">
        <f t="shared" si="6"/>
        <v>0</v>
      </c>
      <c r="N17" s="49"/>
      <c r="O17" s="3">
        <f t="shared" si="2"/>
        <v>0</v>
      </c>
      <c r="P17" s="49"/>
      <c r="Q17" s="3">
        <f t="shared" si="3"/>
        <v>0</v>
      </c>
      <c r="R17" s="49">
        <f t="shared" si="4"/>
        <v>32800</v>
      </c>
      <c r="S17" s="157"/>
      <c r="T17" s="82"/>
    </row>
    <row r="18" spans="1:20" ht="33" customHeight="1">
      <c r="A18" s="60" t="str">
        <f t="shared" ref="A18:A20" si="12">B18&amp;C18&amp;D18&amp;E18</f>
        <v>M02501E110010102</v>
      </c>
      <c r="B18" s="97"/>
      <c r="C18" s="97"/>
      <c r="D18" s="97" t="s">
        <v>187</v>
      </c>
      <c r="E18" s="97"/>
      <c r="F18" s="160" t="s">
        <v>188</v>
      </c>
      <c r="G18" s="160" t="s">
        <v>189</v>
      </c>
      <c r="H18" s="164" t="s">
        <v>169</v>
      </c>
      <c r="I18" s="144">
        <f>14/2</f>
        <v>7</v>
      </c>
      <c r="J18" s="145">
        <v>710</v>
      </c>
      <c r="K18" s="3">
        <f t="shared" si="11"/>
        <v>4075</v>
      </c>
      <c r="L18" s="139"/>
      <c r="M18" s="3">
        <f t="shared" si="6"/>
        <v>0</v>
      </c>
      <c r="N18" s="49"/>
      <c r="O18" s="3">
        <f t="shared" si="2"/>
        <v>0</v>
      </c>
      <c r="P18" s="49"/>
      <c r="Q18" s="3">
        <f t="shared" si="3"/>
        <v>0</v>
      </c>
      <c r="R18" s="49">
        <f t="shared" si="4"/>
        <v>4075</v>
      </c>
      <c r="S18" s="157"/>
      <c r="T18" s="82"/>
    </row>
    <row r="19" spans="1:20" ht="33" customHeight="1">
      <c r="A19" s="60" t="str">
        <f t="shared" si="12"/>
        <v>M010332810030101</v>
      </c>
      <c r="B19" s="97"/>
      <c r="C19" s="97"/>
      <c r="D19" s="97" t="s">
        <v>190</v>
      </c>
      <c r="E19" s="97"/>
      <c r="F19" s="160" t="s">
        <v>191</v>
      </c>
      <c r="G19" s="160" t="s">
        <v>192</v>
      </c>
      <c r="H19" s="164" t="s">
        <v>169</v>
      </c>
      <c r="I19" s="144">
        <f>ROUND(7*1.2,0)</f>
        <v>8</v>
      </c>
      <c r="J19" s="145">
        <v>1226</v>
      </c>
      <c r="K19" s="3">
        <f t="shared" si="11"/>
        <v>8043</v>
      </c>
      <c r="L19" s="139"/>
      <c r="M19" s="3">
        <f t="shared" si="6"/>
        <v>0</v>
      </c>
      <c r="N19" s="49"/>
      <c r="O19" s="3">
        <f>ROUND(N19*I19*$O$2,0)</f>
        <v>0</v>
      </c>
      <c r="P19" s="49"/>
      <c r="Q19" s="3">
        <f>ROUND(P19*I19*$Q$2,0)</f>
        <v>0</v>
      </c>
      <c r="R19" s="49">
        <f>SUM(K19+M19)+O19+Q19</f>
        <v>8043</v>
      </c>
      <c r="S19" s="157"/>
      <c r="T19" s="82"/>
    </row>
    <row r="20" spans="1:20" ht="33" customHeight="1">
      <c r="A20" s="60" t="str">
        <f t="shared" si="12"/>
        <v>M010333813300101</v>
      </c>
      <c r="B20" s="97"/>
      <c r="C20" s="97"/>
      <c r="D20" s="97" t="s">
        <v>193</v>
      </c>
      <c r="E20" s="97"/>
      <c r="F20" s="160" t="s">
        <v>194</v>
      </c>
      <c r="G20" s="160" t="s">
        <v>195</v>
      </c>
      <c r="H20" s="164" t="s">
        <v>169</v>
      </c>
      <c r="I20" s="144">
        <f>7</f>
        <v>7</v>
      </c>
      <c r="J20" s="145">
        <v>600</v>
      </c>
      <c r="K20" s="3">
        <f t="shared" si="11"/>
        <v>3444</v>
      </c>
      <c r="L20" s="139"/>
      <c r="M20" s="3">
        <f t="shared" si="6"/>
        <v>0</v>
      </c>
      <c r="N20" s="49"/>
      <c r="O20" s="3">
        <f t="shared" ref="O20:O21" si="13">ROUND(N20*I20*$O$2,0)</f>
        <v>0</v>
      </c>
      <c r="P20" s="49"/>
      <c r="Q20" s="3">
        <f t="shared" ref="Q20:Q21" si="14">ROUND(P20*I20*$Q$2,0)</f>
        <v>0</v>
      </c>
      <c r="R20" s="49">
        <f t="shared" ref="R20:R21" si="15">SUM(K20+M20)+O20+Q20</f>
        <v>3444</v>
      </c>
      <c r="S20" s="157"/>
      <c r="T20" s="82"/>
    </row>
    <row r="21" spans="1:20" ht="33" customHeight="1">
      <c r="A21" s="60" t="str">
        <f>B21&amp;C21&amp;D21&amp;E21</f>
        <v>E00000808374072301</v>
      </c>
      <c r="B21" s="159"/>
      <c r="C21" s="97" t="s">
        <v>196</v>
      </c>
      <c r="D21" s="97"/>
      <c r="E21" s="97"/>
      <c r="F21" s="150" t="s">
        <v>197</v>
      </c>
      <c r="G21" s="150" t="s">
        <v>198</v>
      </c>
      <c r="H21" s="140" t="s">
        <v>140</v>
      </c>
      <c r="I21" s="144">
        <f>7</f>
        <v>7</v>
      </c>
      <c r="J21" s="141">
        <v>0</v>
      </c>
      <c r="K21" s="3">
        <f t="shared" si="11"/>
        <v>0</v>
      </c>
      <c r="L21" s="141">
        <v>2836</v>
      </c>
      <c r="M21" s="3">
        <f t="shared" si="6"/>
        <v>14293</v>
      </c>
      <c r="N21" s="143"/>
      <c r="O21" s="3">
        <f t="shared" si="13"/>
        <v>0</v>
      </c>
      <c r="P21" s="143"/>
      <c r="Q21" s="3">
        <f t="shared" si="14"/>
        <v>0</v>
      </c>
      <c r="R21" s="49">
        <f t="shared" si="15"/>
        <v>14293</v>
      </c>
      <c r="S21" s="143"/>
      <c r="T21" s="82"/>
    </row>
    <row r="22" spans="1:20" ht="33" customHeight="1">
      <c r="A22" s="60" t="str">
        <f t="shared" ref="A22" si="16">B22&amp;C22&amp;D22&amp;E22</f>
        <v>L002</v>
      </c>
      <c r="B22" s="97"/>
      <c r="C22" s="97"/>
      <c r="D22" s="97"/>
      <c r="E22" s="148" t="s">
        <v>138</v>
      </c>
      <c r="F22" s="138" t="s">
        <v>147</v>
      </c>
      <c r="G22" s="156" t="s">
        <v>143</v>
      </c>
      <c r="H22" s="115" t="s">
        <v>148</v>
      </c>
      <c r="I22" s="144">
        <f>1</f>
        <v>1</v>
      </c>
      <c r="J22" s="99"/>
      <c r="K22" s="3">
        <f t="shared" ref="K22" si="17">+I22*J22*$K$2</f>
        <v>0</v>
      </c>
      <c r="L22" s="139">
        <v>171037</v>
      </c>
      <c r="M22" s="3">
        <f>ROUND((L22*I22),0)</f>
        <v>171037</v>
      </c>
      <c r="N22" s="49"/>
      <c r="O22" s="3">
        <f t="shared" ref="O22" si="18">ROUND(N22*I22*$O$2,0)</f>
        <v>0</v>
      </c>
      <c r="P22" s="49"/>
      <c r="Q22" s="3">
        <f t="shared" ref="Q22" si="19">ROUND(P22*I22*$Q$2,0)</f>
        <v>0</v>
      </c>
      <c r="R22" s="49">
        <f t="shared" ref="R22" si="20">SUM(K22+M22)+O22+Q22</f>
        <v>171037</v>
      </c>
      <c r="S22" s="154">
        <v>1</v>
      </c>
      <c r="T22" s="82"/>
    </row>
    <row r="23" spans="1:20" ht="33" customHeight="1" thickBot="1">
      <c r="A23" s="151" t="str">
        <f t="shared" ref="A23" si="21">B23&amp;C23&amp;D23&amp;E23</f>
        <v/>
      </c>
      <c r="B23" s="61"/>
      <c r="C23" s="61"/>
      <c r="D23" s="61"/>
      <c r="E23" s="61"/>
      <c r="F23" s="86"/>
      <c r="G23" s="86"/>
      <c r="H23" s="52"/>
      <c r="I23" s="101"/>
      <c r="J23" s="53"/>
      <c r="K23" s="96">
        <f t="shared" ref="K23" si="22">ROUND(J23*K$2*I23,0)</f>
        <v>0</v>
      </c>
      <c r="L23" s="53"/>
      <c r="M23" s="3">
        <f t="shared" ref="M23" si="23">ROUND((L23*I23)*$M$2,0)</f>
        <v>0</v>
      </c>
      <c r="N23" s="54"/>
      <c r="O23" s="3">
        <f t="shared" ref="O23" si="24">ROUND(N23*I23*$O$2,0)</f>
        <v>0</v>
      </c>
      <c r="P23" s="54"/>
      <c r="Q23" s="3">
        <f t="shared" ref="Q23" si="25">ROUND(P23*I23*$Q$2,0)</f>
        <v>0</v>
      </c>
      <c r="R23" s="54">
        <f t="shared" ref="R23" si="26">SUM(K23+M23)+O23+Q23</f>
        <v>0</v>
      </c>
      <c r="S23" s="81"/>
      <c r="T23" s="83"/>
    </row>
    <row r="24" spans="1:20" ht="33" customHeight="1">
      <c r="A24" s="176" t="str">
        <f t="shared" ref="A24" si="27">B24&amp;C24&amp;D24&amp;E24</f>
        <v/>
      </c>
      <c r="K24" s="177">
        <f>SUM(K5:K23)</f>
        <v>491915.51999999996</v>
      </c>
      <c r="L24" s="178"/>
      <c r="M24" s="177">
        <f>SUM(M5:M23)</f>
        <v>956645</v>
      </c>
      <c r="N24" s="178"/>
      <c r="O24" s="179">
        <f>SUM(O5:O23)</f>
        <v>0</v>
      </c>
      <c r="P24" s="178"/>
      <c r="Q24" s="179">
        <f>SUM(Q5:Q22)</f>
        <v>0</v>
      </c>
      <c r="R24" s="180">
        <f>SUM(K24+M24)+O24+Q24</f>
        <v>1448560.52</v>
      </c>
    </row>
    <row r="25" spans="1:20" s="172" customFormat="1" ht="33" customHeight="1">
      <c r="A25" s="171"/>
      <c r="F25" s="173"/>
      <c r="G25" s="173"/>
      <c r="I25" s="174"/>
      <c r="S25" s="175"/>
    </row>
    <row r="26" spans="1:20" s="172" customFormat="1" ht="33" customHeight="1">
      <c r="A26" s="171"/>
      <c r="F26" s="173"/>
      <c r="G26" s="173"/>
      <c r="I26" s="174"/>
      <c r="S26" s="175"/>
    </row>
    <row r="27" spans="1:20" s="172" customFormat="1" ht="33" customHeight="1">
      <c r="A27" s="171"/>
      <c r="F27" s="173"/>
      <c r="G27" s="173"/>
      <c r="I27" s="174"/>
      <c r="S27" s="175"/>
    </row>
    <row r="28" spans="1:20" s="172" customFormat="1" ht="33" customHeight="1">
      <c r="A28" s="171"/>
      <c r="F28" s="173"/>
      <c r="G28" s="173"/>
      <c r="I28" s="174"/>
      <c r="S28" s="175"/>
    </row>
    <row r="29" spans="1:20" s="172" customFormat="1" ht="33" customHeight="1">
      <c r="A29" s="171"/>
      <c r="F29" s="173"/>
      <c r="G29" s="173"/>
      <c r="I29" s="174"/>
      <c r="S29" s="175"/>
    </row>
    <row r="30" spans="1:20" s="172" customFormat="1" ht="33" customHeight="1">
      <c r="A30" s="171"/>
      <c r="F30" s="173"/>
      <c r="G30" s="173"/>
      <c r="I30" s="174"/>
      <c r="S30" s="175"/>
    </row>
    <row r="31" spans="1:20" s="172" customFormat="1" ht="33" customHeight="1">
      <c r="A31" s="171"/>
      <c r="F31" s="173"/>
      <c r="G31" s="173"/>
      <c r="I31" s="174"/>
      <c r="S31" s="175"/>
    </row>
    <row r="32" spans="1:20" s="172" customFormat="1" ht="33" customHeight="1">
      <c r="A32" s="171"/>
      <c r="F32" s="173"/>
      <c r="G32" s="173"/>
      <c r="I32" s="174"/>
      <c r="S32" s="175"/>
    </row>
    <row r="33" spans="1:19" s="172" customFormat="1" ht="33" customHeight="1">
      <c r="A33" s="171"/>
      <c r="F33" s="173"/>
      <c r="G33" s="173"/>
      <c r="I33" s="174"/>
      <c r="S33" s="175"/>
    </row>
    <row r="34" spans="1:19" s="172" customFormat="1" ht="33" customHeight="1">
      <c r="A34" s="171"/>
      <c r="F34" s="173"/>
      <c r="G34" s="173"/>
      <c r="I34" s="174"/>
      <c r="S34" s="175"/>
    </row>
    <row r="35" spans="1:19" s="172" customFormat="1" ht="33" customHeight="1">
      <c r="A35" s="171"/>
      <c r="F35" s="173"/>
      <c r="G35" s="173"/>
      <c r="I35" s="174"/>
      <c r="S35" s="175"/>
    </row>
    <row r="36" spans="1:19" s="172" customFormat="1" ht="33" customHeight="1">
      <c r="A36" s="171"/>
      <c r="F36" s="173"/>
      <c r="G36" s="173"/>
      <c r="I36" s="174"/>
      <c r="S36" s="175"/>
    </row>
    <row r="37" spans="1:19" s="172" customFormat="1" ht="33" customHeight="1">
      <c r="A37" s="171"/>
      <c r="F37" s="173"/>
      <c r="G37" s="173"/>
      <c r="I37" s="174"/>
      <c r="S37" s="175"/>
    </row>
    <row r="38" spans="1:19" s="172" customFormat="1" ht="33" customHeight="1">
      <c r="A38" s="171"/>
      <c r="F38" s="173"/>
      <c r="G38" s="173"/>
      <c r="I38" s="174"/>
      <c r="S38" s="175"/>
    </row>
    <row r="39" spans="1:19" s="172" customFormat="1" ht="33" customHeight="1">
      <c r="A39" s="171"/>
      <c r="F39" s="173"/>
      <c r="G39" s="173"/>
      <c r="I39" s="174"/>
      <c r="S39" s="175"/>
    </row>
    <row r="40" spans="1:19" s="172" customFormat="1" ht="33" customHeight="1">
      <c r="A40" s="171"/>
      <c r="F40" s="173"/>
      <c r="G40" s="173"/>
      <c r="I40" s="174"/>
      <c r="S40" s="175"/>
    </row>
    <row r="41" spans="1:19" s="172" customFormat="1" ht="33" customHeight="1">
      <c r="A41" s="171"/>
      <c r="F41" s="173"/>
      <c r="G41" s="173"/>
      <c r="I41" s="174"/>
      <c r="S41" s="175"/>
    </row>
    <row r="42" spans="1:19" s="172" customFormat="1" ht="33" customHeight="1">
      <c r="A42" s="171"/>
      <c r="F42" s="173"/>
      <c r="G42" s="173"/>
      <c r="I42" s="174"/>
      <c r="S42" s="175"/>
    </row>
    <row r="43" spans="1:19" s="172" customFormat="1" ht="33" customHeight="1">
      <c r="A43" s="171"/>
      <c r="F43" s="173"/>
      <c r="G43" s="173"/>
      <c r="I43" s="174"/>
      <c r="S43" s="175"/>
    </row>
    <row r="44" spans="1:19" s="172" customFormat="1" ht="33" customHeight="1">
      <c r="A44" s="171"/>
      <c r="F44" s="173"/>
      <c r="G44" s="173"/>
      <c r="I44" s="174"/>
      <c r="S44" s="175"/>
    </row>
    <row r="45" spans="1:19" s="172" customFormat="1" ht="33" customHeight="1">
      <c r="A45" s="171"/>
      <c r="F45" s="173"/>
      <c r="G45" s="173"/>
      <c r="I45" s="174"/>
      <c r="S45" s="175"/>
    </row>
    <row r="46" spans="1:19" s="172" customFormat="1" ht="33" customHeight="1">
      <c r="A46" s="171"/>
      <c r="F46" s="173"/>
      <c r="G46" s="173"/>
      <c r="I46" s="174"/>
      <c r="S46" s="175"/>
    </row>
    <row r="47" spans="1:19" s="172" customFormat="1" ht="33" customHeight="1">
      <c r="A47" s="171"/>
      <c r="F47" s="173"/>
      <c r="G47" s="173"/>
      <c r="I47" s="174"/>
      <c r="S47" s="175"/>
    </row>
    <row r="48" spans="1:19" s="172" customFormat="1" ht="33" customHeight="1">
      <c r="A48" s="171"/>
      <c r="F48" s="173"/>
      <c r="G48" s="173"/>
      <c r="I48" s="174"/>
      <c r="S48" s="175"/>
    </row>
    <row r="49" spans="1:19" s="172" customFormat="1" ht="33" customHeight="1">
      <c r="A49" s="171"/>
      <c r="F49" s="173"/>
      <c r="G49" s="173"/>
      <c r="I49" s="174"/>
      <c r="S49" s="175"/>
    </row>
    <row r="50" spans="1:19" s="172" customFormat="1" ht="33" customHeight="1">
      <c r="A50" s="171"/>
      <c r="F50" s="173"/>
      <c r="G50" s="173"/>
      <c r="I50" s="174"/>
      <c r="S50" s="175"/>
    </row>
    <row r="51" spans="1:19" s="172" customFormat="1" ht="33" customHeight="1">
      <c r="A51" s="171"/>
      <c r="F51" s="173"/>
      <c r="G51" s="173"/>
      <c r="I51" s="174"/>
      <c r="S51" s="175"/>
    </row>
    <row r="52" spans="1:19" s="172" customFormat="1" ht="33" customHeight="1">
      <c r="A52" s="171"/>
      <c r="F52" s="173"/>
      <c r="G52" s="173"/>
      <c r="I52" s="174"/>
      <c r="S52" s="175"/>
    </row>
    <row r="53" spans="1:19" s="172" customFormat="1" ht="33" customHeight="1">
      <c r="A53" s="171"/>
      <c r="F53" s="173"/>
      <c r="G53" s="173"/>
      <c r="I53" s="174"/>
      <c r="S53" s="175"/>
    </row>
    <row r="54" spans="1:19" s="172" customFormat="1" ht="33" customHeight="1">
      <c r="A54" s="171"/>
      <c r="F54" s="173"/>
      <c r="G54" s="173"/>
      <c r="I54" s="174"/>
      <c r="S54" s="175"/>
    </row>
    <row r="55" spans="1:19" s="172" customFormat="1" ht="33" customHeight="1">
      <c r="A55" s="171"/>
      <c r="F55" s="173"/>
      <c r="G55" s="173"/>
      <c r="I55" s="174"/>
      <c r="S55" s="175"/>
    </row>
    <row r="56" spans="1:19" s="172" customFormat="1" ht="33" customHeight="1">
      <c r="A56" s="171"/>
      <c r="F56" s="173"/>
      <c r="G56" s="173"/>
      <c r="I56" s="174"/>
      <c r="S56" s="175"/>
    </row>
    <row r="57" spans="1:19" s="172" customFormat="1" ht="33" customHeight="1">
      <c r="A57" s="171"/>
      <c r="F57" s="173"/>
      <c r="G57" s="173"/>
      <c r="I57" s="174"/>
      <c r="S57" s="175"/>
    </row>
    <row r="58" spans="1:19" s="172" customFormat="1" ht="33" customHeight="1">
      <c r="A58" s="171"/>
      <c r="F58" s="173"/>
      <c r="G58" s="173"/>
      <c r="I58" s="174"/>
      <c r="S58" s="175"/>
    </row>
    <row r="59" spans="1:19" s="172" customFormat="1" ht="33" customHeight="1">
      <c r="A59" s="171"/>
      <c r="F59" s="173"/>
      <c r="G59" s="173"/>
      <c r="I59" s="174"/>
      <c r="S59" s="175"/>
    </row>
    <row r="60" spans="1:19" s="172" customFormat="1" ht="33" customHeight="1">
      <c r="A60" s="171"/>
      <c r="F60" s="173"/>
      <c r="G60" s="173"/>
      <c r="I60" s="174"/>
      <c r="S60" s="175"/>
    </row>
    <row r="61" spans="1:19" s="172" customFormat="1" ht="33" customHeight="1">
      <c r="A61" s="171"/>
      <c r="F61" s="173"/>
      <c r="G61" s="173"/>
      <c r="I61" s="174"/>
      <c r="S61" s="175"/>
    </row>
    <row r="62" spans="1:19" s="172" customFormat="1" ht="33" customHeight="1">
      <c r="A62" s="171"/>
      <c r="F62" s="173"/>
      <c r="G62" s="173"/>
      <c r="I62" s="174"/>
      <c r="S62" s="175"/>
    </row>
    <row r="63" spans="1:19" s="172" customFormat="1" ht="33" customHeight="1">
      <c r="A63" s="171"/>
      <c r="F63" s="173"/>
      <c r="G63" s="173"/>
      <c r="I63" s="174"/>
      <c r="S63" s="175"/>
    </row>
    <row r="64" spans="1:19" s="172" customFormat="1" ht="33" customHeight="1">
      <c r="A64" s="171"/>
      <c r="F64" s="173"/>
      <c r="G64" s="173"/>
      <c r="I64" s="174"/>
      <c r="S64" s="175"/>
    </row>
    <row r="65" spans="1:19" s="172" customFormat="1" ht="33" customHeight="1">
      <c r="A65" s="171"/>
      <c r="F65" s="173"/>
      <c r="G65" s="173"/>
      <c r="I65" s="174"/>
      <c r="S65" s="175"/>
    </row>
    <row r="66" spans="1:19" s="172" customFormat="1" ht="33" customHeight="1">
      <c r="A66" s="171"/>
      <c r="F66" s="173"/>
      <c r="G66" s="173"/>
      <c r="I66" s="174"/>
      <c r="S66" s="175"/>
    </row>
    <row r="67" spans="1:19" s="172" customFormat="1" ht="33" customHeight="1">
      <c r="A67" s="171"/>
      <c r="F67" s="173"/>
      <c r="G67" s="173"/>
      <c r="I67" s="174"/>
      <c r="S67" s="175"/>
    </row>
    <row r="68" spans="1:19" s="172" customFormat="1" ht="33" customHeight="1">
      <c r="A68" s="171"/>
      <c r="F68" s="173"/>
      <c r="G68" s="173"/>
      <c r="I68" s="174"/>
      <c r="S68" s="175"/>
    </row>
    <row r="69" spans="1:19" s="172" customFormat="1" ht="33" customHeight="1">
      <c r="A69" s="171"/>
      <c r="F69" s="173"/>
      <c r="G69" s="173"/>
      <c r="I69" s="174"/>
      <c r="S69" s="175"/>
    </row>
    <row r="70" spans="1:19" s="172" customFormat="1" ht="33" customHeight="1">
      <c r="A70" s="171"/>
      <c r="F70" s="173"/>
      <c r="G70" s="173"/>
      <c r="I70" s="174"/>
      <c r="S70" s="175"/>
    </row>
    <row r="71" spans="1:19" s="172" customFormat="1" ht="33" customHeight="1">
      <c r="A71" s="171"/>
      <c r="F71" s="173"/>
      <c r="G71" s="173"/>
      <c r="I71" s="174"/>
      <c r="S71" s="175"/>
    </row>
    <row r="72" spans="1:19" s="172" customFormat="1" ht="33" customHeight="1">
      <c r="A72" s="171"/>
      <c r="F72" s="173"/>
      <c r="G72" s="173"/>
      <c r="I72" s="174"/>
      <c r="S72" s="175"/>
    </row>
    <row r="73" spans="1:19" s="172" customFormat="1" ht="33" customHeight="1">
      <c r="A73" s="171"/>
      <c r="F73" s="173"/>
      <c r="G73" s="173"/>
      <c r="I73" s="174"/>
      <c r="S73" s="175"/>
    </row>
    <row r="74" spans="1:19" s="172" customFormat="1" ht="33" customHeight="1">
      <c r="A74" s="171"/>
      <c r="F74" s="173"/>
      <c r="G74" s="173"/>
      <c r="I74" s="174"/>
      <c r="S74" s="175"/>
    </row>
    <row r="75" spans="1:19" s="172" customFormat="1" ht="33" customHeight="1">
      <c r="A75" s="171"/>
      <c r="F75" s="173"/>
      <c r="G75" s="173"/>
      <c r="I75" s="174"/>
      <c r="S75" s="175"/>
    </row>
    <row r="76" spans="1:19" s="172" customFormat="1" ht="33" customHeight="1">
      <c r="A76" s="171"/>
      <c r="F76" s="173"/>
      <c r="G76" s="173"/>
      <c r="I76" s="174"/>
      <c r="S76" s="175"/>
    </row>
    <row r="77" spans="1:19" s="172" customFormat="1" ht="33" customHeight="1">
      <c r="A77" s="171"/>
      <c r="F77" s="173"/>
      <c r="G77" s="173"/>
      <c r="I77" s="174"/>
      <c r="S77" s="175"/>
    </row>
    <row r="78" spans="1:19" s="172" customFormat="1" ht="33" customHeight="1">
      <c r="A78" s="171"/>
      <c r="F78" s="173"/>
      <c r="G78" s="173"/>
      <c r="I78" s="174"/>
      <c r="S78" s="175"/>
    </row>
    <row r="79" spans="1:19" s="172" customFormat="1" ht="33" customHeight="1">
      <c r="A79" s="171"/>
      <c r="F79" s="173"/>
      <c r="G79" s="173"/>
      <c r="I79" s="174"/>
      <c r="S79" s="175"/>
    </row>
    <row r="80" spans="1:19" s="172" customFormat="1" ht="33" customHeight="1">
      <c r="A80" s="171"/>
      <c r="F80" s="173"/>
      <c r="G80" s="173"/>
      <c r="I80" s="174"/>
      <c r="S80" s="175"/>
    </row>
    <row r="81" spans="1:19" s="172" customFormat="1" ht="33" customHeight="1">
      <c r="A81" s="171"/>
      <c r="F81" s="173"/>
      <c r="G81" s="173"/>
      <c r="I81" s="174"/>
      <c r="S81" s="175"/>
    </row>
    <row r="82" spans="1:19" s="172" customFormat="1" ht="33" customHeight="1">
      <c r="A82" s="171"/>
      <c r="F82" s="173"/>
      <c r="G82" s="173"/>
      <c r="I82" s="174"/>
      <c r="S82" s="175"/>
    </row>
    <row r="83" spans="1:19" s="172" customFormat="1" ht="33" customHeight="1">
      <c r="A83" s="171"/>
      <c r="F83" s="173"/>
      <c r="G83" s="173"/>
      <c r="I83" s="174"/>
      <c r="S83" s="175"/>
    </row>
    <row r="84" spans="1:19" s="172" customFormat="1" ht="33" customHeight="1">
      <c r="A84" s="171"/>
      <c r="F84" s="173"/>
      <c r="G84" s="173"/>
      <c r="I84" s="174"/>
      <c r="S84" s="175"/>
    </row>
    <row r="85" spans="1:19" s="172" customFormat="1" ht="33" customHeight="1">
      <c r="A85" s="171"/>
      <c r="F85" s="173"/>
      <c r="G85" s="173"/>
      <c r="I85" s="174"/>
      <c r="S85" s="175"/>
    </row>
    <row r="86" spans="1:19" s="172" customFormat="1" ht="33" customHeight="1">
      <c r="A86" s="171"/>
      <c r="F86" s="173"/>
      <c r="G86" s="173"/>
      <c r="I86" s="174"/>
      <c r="S86" s="175"/>
    </row>
    <row r="87" spans="1:19" s="172" customFormat="1" ht="33" customHeight="1">
      <c r="A87" s="171"/>
      <c r="F87" s="173"/>
      <c r="G87" s="173"/>
      <c r="I87" s="174"/>
      <c r="S87" s="175"/>
    </row>
    <row r="88" spans="1:19" s="172" customFormat="1" ht="33" customHeight="1">
      <c r="A88" s="171"/>
      <c r="F88" s="173"/>
      <c r="G88" s="173"/>
      <c r="I88" s="174"/>
      <c r="S88" s="175"/>
    </row>
    <row r="89" spans="1:19" s="172" customFormat="1" ht="33" customHeight="1">
      <c r="A89" s="171"/>
      <c r="F89" s="173"/>
      <c r="G89" s="173"/>
      <c r="I89" s="174"/>
      <c r="S89" s="175"/>
    </row>
    <row r="90" spans="1:19" s="172" customFormat="1" ht="33" customHeight="1">
      <c r="A90" s="171"/>
      <c r="F90" s="173"/>
      <c r="G90" s="173"/>
      <c r="I90" s="174"/>
      <c r="S90" s="175"/>
    </row>
    <row r="91" spans="1:19" s="172" customFormat="1" ht="33" customHeight="1">
      <c r="A91" s="171"/>
      <c r="F91" s="173"/>
      <c r="G91" s="173"/>
      <c r="I91" s="174"/>
      <c r="S91" s="175"/>
    </row>
    <row r="92" spans="1:19" s="172" customFormat="1" ht="33" customHeight="1">
      <c r="A92" s="171"/>
      <c r="F92" s="173"/>
      <c r="G92" s="173"/>
      <c r="I92" s="174"/>
      <c r="S92" s="175"/>
    </row>
    <row r="93" spans="1:19" s="172" customFormat="1" ht="33" customHeight="1">
      <c r="A93" s="171"/>
      <c r="F93" s="173"/>
      <c r="G93" s="173"/>
      <c r="I93" s="174"/>
      <c r="S93" s="175"/>
    </row>
    <row r="94" spans="1:19" s="172" customFormat="1" ht="33" customHeight="1">
      <c r="A94" s="171"/>
      <c r="F94" s="173"/>
      <c r="G94" s="173"/>
      <c r="I94" s="174"/>
      <c r="S94" s="175"/>
    </row>
    <row r="95" spans="1:19" s="172" customFormat="1" ht="33" customHeight="1">
      <c r="A95" s="171"/>
      <c r="F95" s="173"/>
      <c r="G95" s="173"/>
      <c r="I95" s="174"/>
      <c r="S95" s="175"/>
    </row>
    <row r="96" spans="1:19" s="172" customFormat="1" ht="33" customHeight="1">
      <c r="A96" s="171"/>
      <c r="F96" s="173"/>
      <c r="G96" s="173"/>
      <c r="I96" s="174"/>
      <c r="S96" s="175"/>
    </row>
    <row r="97" spans="1:19" s="172" customFormat="1" ht="33" customHeight="1">
      <c r="A97" s="171"/>
      <c r="F97" s="173"/>
      <c r="G97" s="173"/>
      <c r="I97" s="174"/>
      <c r="S97" s="175"/>
    </row>
    <row r="98" spans="1:19" s="172" customFormat="1" ht="33" customHeight="1">
      <c r="A98" s="171"/>
      <c r="F98" s="173"/>
      <c r="G98" s="173"/>
      <c r="I98" s="174"/>
      <c r="S98" s="175"/>
    </row>
    <row r="99" spans="1:19" s="172" customFormat="1" ht="33" customHeight="1">
      <c r="A99" s="171"/>
      <c r="F99" s="173"/>
      <c r="G99" s="173"/>
      <c r="I99" s="174"/>
      <c r="S99" s="175"/>
    </row>
    <row r="100" spans="1:19" s="172" customFormat="1" ht="33" customHeight="1">
      <c r="A100" s="171"/>
      <c r="F100" s="173"/>
      <c r="G100" s="173"/>
      <c r="I100" s="174"/>
      <c r="S100" s="175"/>
    </row>
    <row r="101" spans="1:19" s="172" customFormat="1" ht="33" customHeight="1">
      <c r="A101" s="171"/>
      <c r="F101" s="173"/>
      <c r="G101" s="173"/>
      <c r="I101" s="174"/>
      <c r="S101" s="175"/>
    </row>
    <row r="102" spans="1:19" s="172" customFormat="1" ht="33" customHeight="1">
      <c r="A102" s="171"/>
      <c r="F102" s="173"/>
      <c r="G102" s="173"/>
      <c r="I102" s="174"/>
      <c r="S102" s="175"/>
    </row>
    <row r="103" spans="1:19" s="172" customFormat="1" ht="33" customHeight="1">
      <c r="A103" s="171"/>
      <c r="F103" s="173"/>
      <c r="G103" s="173"/>
      <c r="I103" s="174"/>
      <c r="S103" s="175"/>
    </row>
    <row r="104" spans="1:19" s="172" customFormat="1" ht="33" customHeight="1">
      <c r="A104" s="171"/>
      <c r="F104" s="173"/>
      <c r="G104" s="173"/>
      <c r="I104" s="174"/>
      <c r="S104" s="175"/>
    </row>
    <row r="105" spans="1:19" s="172" customFormat="1" ht="33" customHeight="1">
      <c r="A105" s="171"/>
      <c r="F105" s="173"/>
      <c r="G105" s="173"/>
      <c r="I105" s="174"/>
      <c r="S105" s="175"/>
    </row>
  </sheetData>
  <autoFilter ref="A4:U24" xr:uid="{00000000-0009-0000-0000-000001000000}"/>
  <mergeCells count="12">
    <mergeCell ref="Z3:AE4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19"/>
  <sheetViews>
    <sheetView showGridLines="0" topLeftCell="A7" zoomScale="115" zoomScaleNormal="115" workbookViewId="0">
      <selection activeCell="B23" sqref="B23"/>
    </sheetView>
  </sheetViews>
  <sheetFormatPr defaultRowHeight="16.5"/>
  <cols>
    <col min="1" max="1" width="25.125" style="50" customWidth="1"/>
    <col min="2" max="2" width="16.25" style="50" customWidth="1"/>
    <col min="3" max="3" width="22.375" style="50" customWidth="1"/>
    <col min="4" max="4" width="24.125" style="50" customWidth="1"/>
    <col min="5" max="5" width="13" style="50" customWidth="1"/>
    <col min="6" max="6" width="7.5" style="68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7" t="s">
        <v>5</v>
      </c>
      <c r="H1" s="51" t="s">
        <v>49</v>
      </c>
    </row>
    <row r="2" spans="1:8">
      <c r="A2" s="55">
        <f>'내역서(표준단가)'!A5</f>
        <v>0</v>
      </c>
      <c r="B2" s="56">
        <f>'내역서(표준단가)'!B5</f>
        <v>0</v>
      </c>
      <c r="C2" s="56">
        <f>'내역서(표준단가)'!C5</f>
        <v>0</v>
      </c>
      <c r="D2" s="56">
        <f>'내역서(표준단가)'!D5</f>
        <v>0</v>
      </c>
      <c r="E2" s="56">
        <f>'내역서(표준단가)'!E5</f>
        <v>0</v>
      </c>
      <c r="F2" s="153">
        <f>'내역서(표준단가)'!I5</f>
        <v>0</v>
      </c>
      <c r="H2" t="s">
        <v>50</v>
      </c>
    </row>
    <row r="3" spans="1:8">
      <c r="A3" s="55" t="str">
        <f>'내역서(표준단가)'!A6</f>
        <v>E00000806001030304</v>
      </c>
      <c r="B3" s="56">
        <f>'내역서(표준단가)'!B6</f>
        <v>0</v>
      </c>
      <c r="C3" s="56" t="str">
        <f>'내역서(표준단가)'!C6</f>
        <v>E00000806001030304</v>
      </c>
      <c r="D3" s="56">
        <f>'내역서(표준단가)'!D6</f>
        <v>0</v>
      </c>
      <c r="E3" s="56">
        <f>'내역서(표준단가)'!E6</f>
        <v>0</v>
      </c>
      <c r="F3" s="153">
        <f>'내역서(표준단가)'!I6</f>
        <v>0.27368421052631581</v>
      </c>
      <c r="H3" t="s">
        <v>61</v>
      </c>
    </row>
    <row r="4" spans="1:8">
      <c r="A4" s="55" t="str">
        <f>'내역서(표준단가)'!A7</f>
        <v>E00000806003010101</v>
      </c>
      <c r="B4" s="56">
        <f>'내역서(표준단가)'!B7</f>
        <v>0</v>
      </c>
      <c r="C4" s="56" t="str">
        <f>'내역서(표준단가)'!C7</f>
        <v>E00000806003010101</v>
      </c>
      <c r="D4" s="56">
        <f>'내역서(표준단가)'!D7</f>
        <v>0</v>
      </c>
      <c r="E4" s="56">
        <f>'내역서(표준단가)'!E7</f>
        <v>0</v>
      </c>
      <c r="F4" s="153">
        <f>'내역서(표준단가)'!I7</f>
        <v>0.27368421052631581</v>
      </c>
    </row>
    <row r="5" spans="1:8">
      <c r="A5" s="55" t="str">
        <f>'내역서(표준단가)'!A8</f>
        <v>E00000806005010101</v>
      </c>
      <c r="B5" s="56">
        <f>'내역서(표준단가)'!B8</f>
        <v>0</v>
      </c>
      <c r="C5" s="56" t="str">
        <f>'내역서(표준단가)'!C8</f>
        <v>E00000806005010101</v>
      </c>
      <c r="D5" s="56">
        <f>'내역서(표준단가)'!D8</f>
        <v>0</v>
      </c>
      <c r="E5" s="56">
        <f>'내역서(표준단가)'!E8</f>
        <v>0</v>
      </c>
      <c r="F5" s="153">
        <f>'내역서(표준단가)'!I8</f>
        <v>2</v>
      </c>
    </row>
    <row r="6" spans="1:8">
      <c r="A6" s="55" t="str">
        <f>'내역서(표준단가)'!A9</f>
        <v>E00000806001030304</v>
      </c>
      <c r="B6" s="56">
        <f>'내역서(표준단가)'!B9</f>
        <v>0</v>
      </c>
      <c r="C6" s="56" t="str">
        <f>'내역서(표준단가)'!C9</f>
        <v>E00000806001030304</v>
      </c>
      <c r="D6" s="56">
        <f>'내역서(표준단가)'!D9</f>
        <v>0</v>
      </c>
      <c r="E6" s="56">
        <f>'내역서(표준단가)'!E9</f>
        <v>0</v>
      </c>
      <c r="F6" s="153">
        <f>'내역서(표준단가)'!I9</f>
        <v>0.27368421052631581</v>
      </c>
    </row>
    <row r="7" spans="1:8">
      <c r="A7" s="55" t="str">
        <f>'내역서(표준단가)'!A10</f>
        <v>999999</v>
      </c>
      <c r="B7" s="56">
        <f>'내역서(표준단가)'!B10</f>
        <v>0</v>
      </c>
      <c r="C7" s="56">
        <f>'내역서(표준단가)'!C10</f>
        <v>0</v>
      </c>
      <c r="D7" s="56">
        <f>'내역서(표준단가)'!D10</f>
        <v>999999</v>
      </c>
      <c r="E7" s="56">
        <f>'내역서(표준단가)'!E10</f>
        <v>0</v>
      </c>
      <c r="F7" s="153">
        <f>'내역서(표준단가)'!I10</f>
        <v>14</v>
      </c>
    </row>
    <row r="8" spans="1:8">
      <c r="A8" s="55" t="str">
        <f>'내역서(표준단가)'!A11</f>
        <v>999999</v>
      </c>
      <c r="B8" s="56">
        <f>'내역서(표준단가)'!B11</f>
        <v>0</v>
      </c>
      <c r="C8" s="56">
        <f>'내역서(표준단가)'!C11</f>
        <v>0</v>
      </c>
      <c r="D8" s="56">
        <f>'내역서(표준단가)'!D11</f>
        <v>999999</v>
      </c>
      <c r="E8" s="56">
        <f>'내역서(표준단가)'!E11</f>
        <v>0</v>
      </c>
      <c r="F8" s="153">
        <f>'내역서(표준단가)'!I11</f>
        <v>12</v>
      </c>
    </row>
    <row r="9" spans="1:8">
      <c r="A9" s="55" t="str">
        <f>'내역서(표준단가)'!A12</f>
        <v>E00000806001030201</v>
      </c>
      <c r="B9" s="56">
        <f>'내역서(표준단가)'!B12</f>
        <v>0</v>
      </c>
      <c r="C9" s="56" t="str">
        <f>'내역서(표준단가)'!C12</f>
        <v>E00000806001030201</v>
      </c>
      <c r="D9" s="56">
        <f>'내역서(표준단가)'!D12</f>
        <v>0</v>
      </c>
      <c r="E9" s="56">
        <f>'내역서(표준단가)'!E12</f>
        <v>0</v>
      </c>
      <c r="F9" s="153">
        <f>'내역서(표준단가)'!I12</f>
        <v>25</v>
      </c>
    </row>
    <row r="10" spans="1:8">
      <c r="A10" s="55" t="str">
        <f>'내역서(표준단가)'!A13</f>
        <v>E00000806001030104</v>
      </c>
      <c r="B10" s="56">
        <f>'내역서(표준단가)'!B13</f>
        <v>0</v>
      </c>
      <c r="C10" s="56" t="str">
        <f>'내역서(표준단가)'!C13</f>
        <v>E00000806001030104</v>
      </c>
      <c r="D10" s="56">
        <f>'내역서(표준단가)'!D13</f>
        <v>0</v>
      </c>
      <c r="E10" s="56">
        <f>'내역서(표준단가)'!E13</f>
        <v>0</v>
      </c>
      <c r="F10" s="153">
        <f>'내역서(표준단가)'!I13</f>
        <v>25</v>
      </c>
    </row>
    <row r="11" spans="1:8">
      <c r="A11" s="55" t="str">
        <f>'내역서(표준단가)'!A14</f>
        <v>M025015110050105</v>
      </c>
      <c r="B11" s="56">
        <f>'내역서(표준단가)'!B14</f>
        <v>0</v>
      </c>
      <c r="C11" s="56">
        <f>'내역서(표준단가)'!C14</f>
        <v>0</v>
      </c>
      <c r="D11" s="56" t="str">
        <f>'내역서(표준단가)'!D14</f>
        <v>M025015110050105</v>
      </c>
      <c r="E11" s="56">
        <f>'내역서(표준단가)'!E14</f>
        <v>0</v>
      </c>
      <c r="F11" s="153">
        <f>'내역서(표준단가)'!I14</f>
        <v>26</v>
      </c>
    </row>
    <row r="12" spans="1:8">
      <c r="A12" s="55" t="str">
        <f>'내역서(표준단가)'!A15</f>
        <v>M02501PA10010101</v>
      </c>
      <c r="B12" s="56">
        <f>'내역서(표준단가)'!B15</f>
        <v>0</v>
      </c>
      <c r="C12" s="56">
        <f>'내역서(표준단가)'!C15</f>
        <v>0</v>
      </c>
      <c r="D12" s="56" t="str">
        <f>'내역서(표준단가)'!D15</f>
        <v>M02501PA10010101</v>
      </c>
      <c r="E12" s="56">
        <f>'내역서(표준단가)'!E15</f>
        <v>0</v>
      </c>
      <c r="F12" s="153">
        <f>'내역서(표준단가)'!I15</f>
        <v>8</v>
      </c>
    </row>
    <row r="13" spans="1:8">
      <c r="A13" s="55" t="str">
        <f>'내역서(표준단가)'!A16</f>
        <v>M02501QV10440101</v>
      </c>
      <c r="B13" s="56">
        <f>'내역서(표준단가)'!B16</f>
        <v>0</v>
      </c>
      <c r="C13" s="56">
        <f>'내역서(표준단가)'!C16</f>
        <v>0</v>
      </c>
      <c r="D13" s="56" t="str">
        <f>'내역서(표준단가)'!D16</f>
        <v>M02501QV10440101</v>
      </c>
      <c r="E13" s="56">
        <f>'내역서(표준단가)'!E16</f>
        <v>0</v>
      </c>
      <c r="F13" s="153">
        <f>'내역서(표준단가)'!I16</f>
        <v>2</v>
      </c>
    </row>
    <row r="14" spans="1:8">
      <c r="A14" s="55" t="str">
        <f>'내역서(표준단가)'!A17</f>
        <v>M02512B710010101</v>
      </c>
      <c r="B14" s="56">
        <f>'내역서(표준단가)'!B17</f>
        <v>0</v>
      </c>
      <c r="C14" s="56">
        <f>'내역서(표준단가)'!C17</f>
        <v>0</v>
      </c>
      <c r="D14" s="56" t="str">
        <f>'내역서(표준단가)'!D17</f>
        <v>M02512B710010101</v>
      </c>
      <c r="E14" s="56">
        <f>'내역서(표준단가)'!E17</f>
        <v>0</v>
      </c>
      <c r="F14" s="153">
        <f>'내역서(표준단가)'!I17</f>
        <v>2</v>
      </c>
    </row>
    <row r="15" spans="1:8">
      <c r="A15" s="55" t="str">
        <f>'내역서(표준단가)'!A18</f>
        <v>M02501E110010102</v>
      </c>
      <c r="B15" s="56">
        <f>'내역서(표준단가)'!B18</f>
        <v>0</v>
      </c>
      <c r="C15" s="56">
        <f>'내역서(표준단가)'!C18</f>
        <v>0</v>
      </c>
      <c r="D15" s="56" t="str">
        <f>'내역서(표준단가)'!D18</f>
        <v>M02501E110010102</v>
      </c>
      <c r="E15" s="56">
        <f>'내역서(표준단가)'!E18</f>
        <v>0</v>
      </c>
      <c r="F15" s="153">
        <f>'내역서(표준단가)'!I18</f>
        <v>7</v>
      </c>
    </row>
    <row r="16" spans="1:8">
      <c r="A16" s="55" t="str">
        <f>'내역서(표준단가)'!A19</f>
        <v>M010332810030101</v>
      </c>
      <c r="B16" s="56">
        <f>'내역서(표준단가)'!B19</f>
        <v>0</v>
      </c>
      <c r="C16" s="56">
        <f>'내역서(표준단가)'!C19</f>
        <v>0</v>
      </c>
      <c r="D16" s="56" t="str">
        <f>'내역서(표준단가)'!D19</f>
        <v>M010332810030101</v>
      </c>
      <c r="E16" s="56">
        <f>'내역서(표준단가)'!E19</f>
        <v>0</v>
      </c>
      <c r="F16" s="153">
        <f>'내역서(표준단가)'!I19</f>
        <v>8</v>
      </c>
    </row>
    <row r="17" spans="1:6">
      <c r="A17" s="55" t="str">
        <f>'내역서(표준단가)'!A20</f>
        <v>M010333813300101</v>
      </c>
      <c r="B17" s="56">
        <f>'내역서(표준단가)'!B20</f>
        <v>0</v>
      </c>
      <c r="C17" s="56">
        <f>'내역서(표준단가)'!C20</f>
        <v>0</v>
      </c>
      <c r="D17" s="56" t="str">
        <f>'내역서(표준단가)'!D20</f>
        <v>M010333813300101</v>
      </c>
      <c r="E17" s="56">
        <f>'내역서(표준단가)'!E20</f>
        <v>0</v>
      </c>
      <c r="F17" s="153">
        <f>'내역서(표준단가)'!I20</f>
        <v>7</v>
      </c>
    </row>
    <row r="18" spans="1:6">
      <c r="A18" s="55" t="str">
        <f>'내역서(표준단가)'!A21</f>
        <v>E00000808374072301</v>
      </c>
      <c r="B18" s="56">
        <f>'내역서(표준단가)'!B21</f>
        <v>0</v>
      </c>
      <c r="C18" s="56" t="str">
        <f>'내역서(표준단가)'!C21</f>
        <v>E00000808374072301</v>
      </c>
      <c r="D18" s="56">
        <f>'내역서(표준단가)'!D21</f>
        <v>0</v>
      </c>
      <c r="E18" s="56">
        <f>'내역서(표준단가)'!E21</f>
        <v>0</v>
      </c>
      <c r="F18" s="153">
        <f>'내역서(표준단가)'!I21</f>
        <v>7</v>
      </c>
    </row>
    <row r="19" spans="1:6">
      <c r="A19" s="55" t="str">
        <f>'내역서(표준단가)'!A22</f>
        <v>L002</v>
      </c>
      <c r="B19" s="56">
        <f>'내역서(표준단가)'!B22</f>
        <v>0</v>
      </c>
      <c r="C19" s="56">
        <f>'내역서(표준단가)'!C22</f>
        <v>0</v>
      </c>
      <c r="D19" s="56">
        <f>'내역서(표준단가)'!D22</f>
        <v>0</v>
      </c>
      <c r="E19" s="56" t="str">
        <f>'내역서(표준단가)'!E22</f>
        <v>L002</v>
      </c>
      <c r="F19" s="153">
        <f>'내역서(표준단가)'!I22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5"/>
  <sheetViews>
    <sheetView workbookViewId="0">
      <selection activeCell="C6" sqref="C6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02" t="s">
        <v>6</v>
      </c>
      <c r="B1" s="103" t="s">
        <v>7</v>
      </c>
      <c r="C1" s="103" t="s">
        <v>8</v>
      </c>
      <c r="D1" s="103" t="s">
        <v>9</v>
      </c>
      <c r="E1" s="103" t="s">
        <v>10</v>
      </c>
      <c r="F1" s="103" t="s">
        <v>5</v>
      </c>
      <c r="G1" s="103" t="s">
        <v>11</v>
      </c>
      <c r="H1" s="103" t="s">
        <v>12</v>
      </c>
      <c r="I1" s="103" t="s">
        <v>13</v>
      </c>
      <c r="J1" s="103" t="s">
        <v>14</v>
      </c>
      <c r="K1" s="103" t="s">
        <v>15</v>
      </c>
      <c r="L1" s="103" t="s">
        <v>16</v>
      </c>
      <c r="M1" s="103" t="s">
        <v>17</v>
      </c>
      <c r="N1" s="103" t="s">
        <v>18</v>
      </c>
      <c r="O1" s="103" t="s">
        <v>19</v>
      </c>
      <c r="P1" s="103" t="s">
        <v>20</v>
      </c>
      <c r="Q1" s="103" t="s">
        <v>21</v>
      </c>
      <c r="R1" s="103" t="s">
        <v>22</v>
      </c>
    </row>
    <row r="2" spans="1:18">
      <c r="B2">
        <v>999999</v>
      </c>
      <c r="C2" t="s">
        <v>200</v>
      </c>
      <c r="D2" t="s">
        <v>201</v>
      </c>
      <c r="E2" t="s">
        <v>150</v>
      </c>
      <c r="F2">
        <v>14</v>
      </c>
      <c r="G2" s="104">
        <v>7231</v>
      </c>
      <c r="H2" s="104">
        <v>83011.87999999999</v>
      </c>
      <c r="I2" s="104">
        <v>7764</v>
      </c>
      <c r="J2" s="104">
        <v>78261</v>
      </c>
      <c r="K2" s="104"/>
      <c r="L2" s="104">
        <v>0</v>
      </c>
      <c r="M2" s="104"/>
      <c r="N2" s="104">
        <v>0</v>
      </c>
    </row>
    <row r="3" spans="1:18">
      <c r="B3">
        <v>999999</v>
      </c>
      <c r="C3" t="s">
        <v>200</v>
      </c>
      <c r="D3" t="s">
        <v>185</v>
      </c>
      <c r="E3" t="s">
        <v>150</v>
      </c>
      <c r="F3">
        <v>12</v>
      </c>
      <c r="G3" s="104">
        <v>14021</v>
      </c>
      <c r="H3" s="104">
        <v>137966.63999999998</v>
      </c>
      <c r="I3" s="104">
        <v>12755</v>
      </c>
      <c r="J3" s="104">
        <v>110203</v>
      </c>
      <c r="K3" s="104"/>
      <c r="L3" s="104">
        <v>0</v>
      </c>
      <c r="N3" s="104">
        <v>0</v>
      </c>
    </row>
    <row r="4" spans="1:18">
      <c r="B4">
        <v>999999</v>
      </c>
      <c r="H4" s="104"/>
      <c r="I4" s="104"/>
      <c r="J4" s="104"/>
      <c r="K4" s="104"/>
      <c r="L4" s="104"/>
      <c r="N4" s="104">
        <v>0</v>
      </c>
    </row>
    <row r="5" spans="1:18">
      <c r="B5">
        <v>999999</v>
      </c>
      <c r="H5" s="104"/>
      <c r="I5" s="104"/>
      <c r="J5" s="104"/>
      <c r="K5" s="104"/>
      <c r="L5" s="104"/>
      <c r="N5" s="104"/>
    </row>
    <row r="6" spans="1:18">
      <c r="B6">
        <v>999999</v>
      </c>
      <c r="H6" s="104"/>
      <c r="I6" s="104"/>
      <c r="J6" s="104"/>
      <c r="K6" s="104"/>
      <c r="L6" s="104"/>
      <c r="N6" s="104"/>
    </row>
    <row r="7" spans="1:18">
      <c r="H7" s="104"/>
      <c r="I7" s="104"/>
      <c r="J7" s="104"/>
      <c r="K7" s="104"/>
      <c r="L7" s="104"/>
      <c r="N7" s="104"/>
    </row>
    <row r="8" spans="1:18">
      <c r="H8" s="104"/>
      <c r="I8" s="104"/>
      <c r="J8" s="104"/>
      <c r="K8" s="104"/>
      <c r="L8" s="104"/>
      <c r="N8" s="104"/>
    </row>
    <row r="9" spans="1:18" ht="17.25" thickBot="1">
      <c r="M9" s="104"/>
      <c r="N9" s="104"/>
    </row>
    <row r="10" spans="1:18" ht="17.25" thickTop="1">
      <c r="B10" s="200"/>
      <c r="C10" s="201"/>
      <c r="D10" s="201"/>
      <c r="E10" s="202"/>
      <c r="F10" s="200"/>
      <c r="G10" s="201"/>
      <c r="H10" s="201"/>
      <c r="I10" s="201"/>
      <c r="J10" s="201"/>
      <c r="K10" s="201"/>
      <c r="L10" s="201"/>
      <c r="M10" s="201"/>
      <c r="N10" s="202"/>
    </row>
    <row r="11" spans="1:18">
      <c r="B11" s="203"/>
      <c r="C11" s="204"/>
      <c r="D11" s="204"/>
      <c r="E11" s="205"/>
      <c r="F11" s="203"/>
      <c r="G11" s="204"/>
      <c r="H11" s="204"/>
      <c r="I11" s="204"/>
      <c r="J11" s="204"/>
      <c r="K11" s="204"/>
      <c r="L11" s="204"/>
      <c r="M11" s="204"/>
      <c r="N11" s="205"/>
    </row>
    <row r="12" spans="1:18">
      <c r="B12" s="203"/>
      <c r="C12" s="204"/>
      <c r="D12" s="204"/>
      <c r="E12" s="205"/>
      <c r="F12" s="203"/>
      <c r="G12" s="204"/>
      <c r="H12" s="204"/>
      <c r="I12" s="204"/>
      <c r="J12" s="204"/>
      <c r="K12" s="204"/>
      <c r="L12" s="204"/>
      <c r="M12" s="204"/>
      <c r="N12" s="205"/>
    </row>
    <row r="13" spans="1:18">
      <c r="B13" s="203"/>
      <c r="C13" s="204"/>
      <c r="D13" s="204"/>
      <c r="E13" s="205"/>
      <c r="F13" s="203"/>
      <c r="G13" s="204"/>
      <c r="H13" s="204"/>
      <c r="I13" s="204"/>
      <c r="J13" s="204"/>
      <c r="K13" s="204"/>
      <c r="L13" s="204"/>
      <c r="M13" s="204"/>
      <c r="N13" s="205"/>
    </row>
    <row r="14" spans="1:18">
      <c r="B14" s="203"/>
      <c r="C14" s="204"/>
      <c r="D14" s="204"/>
      <c r="E14" s="205"/>
      <c r="F14" s="203"/>
      <c r="G14" s="204"/>
      <c r="H14" s="204"/>
      <c r="I14" s="204"/>
      <c r="J14" s="204"/>
      <c r="K14" s="204"/>
      <c r="L14" s="204"/>
      <c r="M14" s="204"/>
      <c r="N14" s="205"/>
    </row>
    <row r="15" spans="1:18">
      <c r="B15" s="203"/>
      <c r="C15" s="204"/>
      <c r="D15" s="204"/>
      <c r="E15" s="205"/>
      <c r="F15" s="203"/>
      <c r="G15" s="204"/>
      <c r="H15" s="204"/>
      <c r="I15" s="204"/>
      <c r="J15" s="204"/>
      <c r="K15" s="204"/>
      <c r="L15" s="204"/>
      <c r="M15" s="204"/>
      <c r="N15" s="205"/>
    </row>
    <row r="16" spans="1:18">
      <c r="B16" s="203"/>
      <c r="C16" s="204"/>
      <c r="D16" s="204"/>
      <c r="E16" s="205"/>
      <c r="F16" s="203"/>
      <c r="G16" s="204"/>
      <c r="H16" s="204"/>
      <c r="I16" s="204"/>
      <c r="J16" s="204"/>
      <c r="K16" s="204"/>
      <c r="L16" s="204"/>
      <c r="M16" s="204"/>
      <c r="N16" s="205"/>
    </row>
    <row r="17" spans="2:14">
      <c r="B17" s="203"/>
      <c r="C17" s="204"/>
      <c r="D17" s="204"/>
      <c r="E17" s="205"/>
      <c r="F17" s="203"/>
      <c r="G17" s="204"/>
      <c r="H17" s="204"/>
      <c r="I17" s="204"/>
      <c r="J17" s="204"/>
      <c r="K17" s="204"/>
      <c r="L17" s="204"/>
      <c r="M17" s="204"/>
      <c r="N17" s="205"/>
    </row>
    <row r="18" spans="2:14">
      <c r="B18" s="203"/>
      <c r="C18" s="204"/>
      <c r="D18" s="204"/>
      <c r="E18" s="205"/>
      <c r="F18" s="203"/>
      <c r="G18" s="204"/>
      <c r="H18" s="204"/>
      <c r="I18" s="204"/>
      <c r="J18" s="204"/>
      <c r="K18" s="204"/>
      <c r="L18" s="204"/>
      <c r="M18" s="204"/>
      <c r="N18" s="205"/>
    </row>
    <row r="19" spans="2:14">
      <c r="B19" s="203"/>
      <c r="C19" s="204"/>
      <c r="D19" s="204"/>
      <c r="E19" s="205"/>
      <c r="F19" s="203"/>
      <c r="G19" s="204"/>
      <c r="H19" s="204"/>
      <c r="I19" s="204"/>
      <c r="J19" s="204"/>
      <c r="K19" s="204"/>
      <c r="L19" s="204"/>
      <c r="M19" s="204"/>
      <c r="N19" s="205"/>
    </row>
    <row r="20" spans="2:14">
      <c r="B20" s="203"/>
      <c r="C20" s="204"/>
      <c r="D20" s="204"/>
      <c r="E20" s="205"/>
      <c r="F20" s="203"/>
      <c r="G20" s="204"/>
      <c r="H20" s="204"/>
      <c r="I20" s="204"/>
      <c r="J20" s="204"/>
      <c r="K20" s="204"/>
      <c r="L20" s="204"/>
      <c r="M20" s="204"/>
      <c r="N20" s="205"/>
    </row>
    <row r="21" spans="2:14">
      <c r="B21" s="203"/>
      <c r="C21" s="204"/>
      <c r="D21" s="204"/>
      <c r="E21" s="205"/>
      <c r="F21" s="203"/>
      <c r="G21" s="204"/>
      <c r="H21" s="204"/>
      <c r="I21" s="204"/>
      <c r="J21" s="204"/>
      <c r="K21" s="204"/>
      <c r="L21" s="204"/>
      <c r="M21" s="204"/>
      <c r="N21" s="205"/>
    </row>
    <row r="22" spans="2:14">
      <c r="B22" s="203"/>
      <c r="C22" s="204"/>
      <c r="D22" s="204"/>
      <c r="E22" s="205"/>
      <c r="F22" s="203"/>
      <c r="G22" s="204"/>
      <c r="H22" s="204"/>
      <c r="I22" s="204"/>
      <c r="J22" s="204"/>
      <c r="K22" s="204"/>
      <c r="L22" s="204"/>
      <c r="M22" s="204"/>
      <c r="N22" s="205"/>
    </row>
    <row r="23" spans="2:14">
      <c r="B23" s="203"/>
      <c r="C23" s="204"/>
      <c r="D23" s="204"/>
      <c r="E23" s="205"/>
      <c r="F23" s="203"/>
      <c r="G23" s="204"/>
      <c r="H23" s="204"/>
      <c r="I23" s="204"/>
      <c r="J23" s="204"/>
      <c r="K23" s="204"/>
      <c r="L23" s="204"/>
      <c r="M23" s="204"/>
      <c r="N23" s="205"/>
    </row>
    <row r="24" spans="2:14">
      <c r="B24" s="203"/>
      <c r="C24" s="204"/>
      <c r="D24" s="204"/>
      <c r="E24" s="205"/>
      <c r="F24" s="203"/>
      <c r="G24" s="204"/>
      <c r="H24" s="204"/>
      <c r="I24" s="204"/>
      <c r="J24" s="204"/>
      <c r="K24" s="204"/>
      <c r="L24" s="204"/>
      <c r="M24" s="204"/>
      <c r="N24" s="205"/>
    </row>
    <row r="25" spans="2:14">
      <c r="B25" s="203"/>
      <c r="C25" s="204"/>
      <c r="D25" s="204"/>
      <c r="E25" s="205"/>
      <c r="F25" s="203"/>
      <c r="G25" s="204"/>
      <c r="H25" s="204"/>
      <c r="I25" s="204"/>
      <c r="J25" s="204"/>
      <c r="K25" s="204"/>
      <c r="L25" s="204"/>
      <c r="M25" s="204"/>
      <c r="N25" s="205"/>
    </row>
    <row r="26" spans="2:14">
      <c r="B26" s="203"/>
      <c r="C26" s="204"/>
      <c r="D26" s="204"/>
      <c r="E26" s="205"/>
      <c r="F26" s="203"/>
      <c r="G26" s="204"/>
      <c r="H26" s="204"/>
      <c r="I26" s="204"/>
      <c r="J26" s="204"/>
      <c r="K26" s="204"/>
      <c r="L26" s="204"/>
      <c r="M26" s="204"/>
      <c r="N26" s="205"/>
    </row>
    <row r="27" spans="2:14">
      <c r="B27" s="203"/>
      <c r="C27" s="204"/>
      <c r="D27" s="204"/>
      <c r="E27" s="205"/>
      <c r="F27" s="203"/>
      <c r="G27" s="204"/>
      <c r="H27" s="204"/>
      <c r="I27" s="204"/>
      <c r="J27" s="204"/>
      <c r="K27" s="204"/>
      <c r="L27" s="204"/>
      <c r="M27" s="204"/>
      <c r="N27" s="205"/>
    </row>
    <row r="28" spans="2:14">
      <c r="B28" s="203"/>
      <c r="C28" s="204"/>
      <c r="D28" s="204"/>
      <c r="E28" s="205"/>
      <c r="F28" s="203"/>
      <c r="G28" s="204"/>
      <c r="H28" s="204"/>
      <c r="I28" s="204"/>
      <c r="J28" s="204"/>
      <c r="K28" s="204"/>
      <c r="L28" s="204"/>
      <c r="M28" s="204"/>
      <c r="N28" s="205"/>
    </row>
    <row r="29" spans="2:14">
      <c r="B29" s="203"/>
      <c r="C29" s="204"/>
      <c r="D29" s="204"/>
      <c r="E29" s="205"/>
      <c r="F29" s="203"/>
      <c r="G29" s="204"/>
      <c r="H29" s="204"/>
      <c r="I29" s="204"/>
      <c r="J29" s="204"/>
      <c r="K29" s="204"/>
      <c r="L29" s="204"/>
      <c r="M29" s="204"/>
      <c r="N29" s="205"/>
    </row>
    <row r="30" spans="2:14">
      <c r="B30" s="203"/>
      <c r="C30" s="204"/>
      <c r="D30" s="204"/>
      <c r="E30" s="205"/>
      <c r="F30" s="203"/>
      <c r="G30" s="204"/>
      <c r="H30" s="204"/>
      <c r="I30" s="204"/>
      <c r="J30" s="204"/>
      <c r="K30" s="204"/>
      <c r="L30" s="204"/>
      <c r="M30" s="204"/>
      <c r="N30" s="205"/>
    </row>
    <row r="31" spans="2:14">
      <c r="B31" s="203"/>
      <c r="C31" s="204"/>
      <c r="D31" s="204"/>
      <c r="E31" s="205"/>
      <c r="F31" s="203"/>
      <c r="G31" s="204"/>
      <c r="H31" s="204"/>
      <c r="I31" s="204"/>
      <c r="J31" s="204"/>
      <c r="K31" s="204"/>
      <c r="L31" s="204"/>
      <c r="M31" s="204"/>
      <c r="N31" s="205"/>
    </row>
    <row r="32" spans="2:14">
      <c r="B32" s="203"/>
      <c r="C32" s="204"/>
      <c r="D32" s="204"/>
      <c r="E32" s="205"/>
      <c r="F32" s="203"/>
      <c r="G32" s="204"/>
      <c r="H32" s="204"/>
      <c r="I32" s="204"/>
      <c r="J32" s="204"/>
      <c r="K32" s="204"/>
      <c r="L32" s="204"/>
      <c r="M32" s="204"/>
      <c r="N32" s="205"/>
    </row>
    <row r="33" spans="2:14" ht="17.25" thickBot="1">
      <c r="B33" s="206"/>
      <c r="C33" s="207"/>
      <c r="D33" s="207"/>
      <c r="E33" s="208"/>
      <c r="F33" s="206"/>
      <c r="G33" s="207"/>
      <c r="H33" s="207"/>
      <c r="I33" s="207"/>
      <c r="J33" s="207"/>
      <c r="K33" s="207"/>
      <c r="L33" s="207"/>
      <c r="M33" s="207"/>
      <c r="N33" s="208"/>
    </row>
    <row r="34" spans="2:14" ht="18" thickTop="1" thickBot="1">
      <c r="B34" s="209" t="s">
        <v>199</v>
      </c>
      <c r="C34" s="210"/>
      <c r="D34" s="210"/>
      <c r="E34" s="211"/>
      <c r="F34" s="209"/>
      <c r="G34" s="210"/>
      <c r="H34" s="210"/>
      <c r="I34" s="210"/>
      <c r="J34" s="210"/>
      <c r="K34" s="210"/>
      <c r="L34" s="210"/>
      <c r="M34" s="210"/>
      <c r="N34" s="211"/>
    </row>
    <row r="35" spans="2:14" ht="17.25" thickTop="1">
      <c r="B35" s="200"/>
      <c r="C35" s="201"/>
      <c r="D35" s="201"/>
      <c r="E35" s="202"/>
      <c r="F35" s="200"/>
      <c r="G35" s="201"/>
      <c r="H35" s="201"/>
      <c r="I35" s="201"/>
      <c r="J35" s="201"/>
      <c r="K35" s="201"/>
      <c r="L35" s="201"/>
      <c r="M35" s="201"/>
      <c r="N35" s="202"/>
    </row>
    <row r="36" spans="2:14">
      <c r="B36" s="203"/>
      <c r="C36" s="204"/>
      <c r="D36" s="204"/>
      <c r="E36" s="205"/>
      <c r="F36" s="203"/>
      <c r="G36" s="204"/>
      <c r="H36" s="204"/>
      <c r="I36" s="204"/>
      <c r="J36" s="204"/>
      <c r="K36" s="204"/>
      <c r="L36" s="204"/>
      <c r="M36" s="204"/>
      <c r="N36" s="205"/>
    </row>
    <row r="37" spans="2:14">
      <c r="B37" s="203"/>
      <c r="C37" s="204"/>
      <c r="D37" s="204"/>
      <c r="E37" s="205"/>
      <c r="F37" s="203"/>
      <c r="G37" s="204"/>
      <c r="H37" s="204"/>
      <c r="I37" s="204"/>
      <c r="J37" s="204"/>
      <c r="K37" s="204"/>
      <c r="L37" s="204"/>
      <c r="M37" s="204"/>
      <c r="N37" s="205"/>
    </row>
    <row r="38" spans="2:14">
      <c r="B38" s="203"/>
      <c r="C38" s="204"/>
      <c r="D38" s="204"/>
      <c r="E38" s="205"/>
      <c r="F38" s="203"/>
      <c r="G38" s="204"/>
      <c r="H38" s="204"/>
      <c r="I38" s="204"/>
      <c r="J38" s="204"/>
      <c r="K38" s="204"/>
      <c r="L38" s="204"/>
      <c r="M38" s="204"/>
      <c r="N38" s="205"/>
    </row>
    <row r="39" spans="2:14">
      <c r="B39" s="203"/>
      <c r="C39" s="204"/>
      <c r="D39" s="204"/>
      <c r="E39" s="205"/>
      <c r="F39" s="203"/>
      <c r="G39" s="204"/>
      <c r="H39" s="204"/>
      <c r="I39" s="204"/>
      <c r="J39" s="204"/>
      <c r="K39" s="204"/>
      <c r="L39" s="204"/>
      <c r="M39" s="204"/>
      <c r="N39" s="205"/>
    </row>
    <row r="40" spans="2:14">
      <c r="B40" s="203"/>
      <c r="C40" s="204"/>
      <c r="D40" s="204"/>
      <c r="E40" s="205"/>
      <c r="F40" s="203"/>
      <c r="G40" s="204"/>
      <c r="H40" s="204"/>
      <c r="I40" s="204"/>
      <c r="J40" s="204"/>
      <c r="K40" s="204"/>
      <c r="L40" s="204"/>
      <c r="M40" s="204"/>
      <c r="N40" s="205"/>
    </row>
    <row r="41" spans="2:14">
      <c r="B41" s="203"/>
      <c r="C41" s="204"/>
      <c r="D41" s="204"/>
      <c r="E41" s="205"/>
      <c r="F41" s="203"/>
      <c r="G41" s="204"/>
      <c r="H41" s="204"/>
      <c r="I41" s="204"/>
      <c r="J41" s="204"/>
      <c r="K41" s="204"/>
      <c r="L41" s="204"/>
      <c r="M41" s="204"/>
      <c r="N41" s="205"/>
    </row>
    <row r="42" spans="2:14">
      <c r="B42" s="203"/>
      <c r="C42" s="204"/>
      <c r="D42" s="204"/>
      <c r="E42" s="205"/>
      <c r="F42" s="203"/>
      <c r="G42" s="204"/>
      <c r="H42" s="204"/>
      <c r="I42" s="204"/>
      <c r="J42" s="204"/>
      <c r="K42" s="204"/>
      <c r="L42" s="204"/>
      <c r="M42" s="204"/>
      <c r="N42" s="205"/>
    </row>
    <row r="43" spans="2:14">
      <c r="B43" s="203"/>
      <c r="C43" s="204"/>
      <c r="D43" s="204"/>
      <c r="E43" s="205"/>
      <c r="F43" s="203"/>
      <c r="G43" s="204"/>
      <c r="H43" s="204"/>
      <c r="I43" s="204"/>
      <c r="J43" s="204"/>
      <c r="K43" s="204"/>
      <c r="L43" s="204"/>
      <c r="M43" s="204"/>
      <c r="N43" s="205"/>
    </row>
    <row r="44" spans="2:14">
      <c r="B44" s="203"/>
      <c r="C44" s="204"/>
      <c r="D44" s="204"/>
      <c r="E44" s="205"/>
      <c r="F44" s="203"/>
      <c r="G44" s="204"/>
      <c r="H44" s="204"/>
      <c r="I44" s="204"/>
      <c r="J44" s="204"/>
      <c r="K44" s="204"/>
      <c r="L44" s="204"/>
      <c r="M44" s="204"/>
      <c r="N44" s="205"/>
    </row>
    <row r="45" spans="2:14">
      <c r="B45" s="203"/>
      <c r="C45" s="204"/>
      <c r="D45" s="204"/>
      <c r="E45" s="205"/>
      <c r="F45" s="203"/>
      <c r="G45" s="204"/>
      <c r="H45" s="204"/>
      <c r="I45" s="204"/>
      <c r="J45" s="204"/>
      <c r="K45" s="204"/>
      <c r="L45" s="204"/>
      <c r="M45" s="204"/>
      <c r="N45" s="205"/>
    </row>
    <row r="46" spans="2:14">
      <c r="B46" s="203"/>
      <c r="C46" s="204"/>
      <c r="D46" s="204"/>
      <c r="E46" s="205"/>
      <c r="F46" s="203"/>
      <c r="G46" s="204"/>
      <c r="H46" s="204"/>
      <c r="I46" s="204"/>
      <c r="J46" s="204"/>
      <c r="K46" s="204"/>
      <c r="L46" s="204"/>
      <c r="M46" s="204"/>
      <c r="N46" s="205"/>
    </row>
    <row r="47" spans="2:14">
      <c r="B47" s="203"/>
      <c r="C47" s="204"/>
      <c r="D47" s="204"/>
      <c r="E47" s="205"/>
      <c r="F47" s="203"/>
      <c r="G47" s="204"/>
      <c r="H47" s="204"/>
      <c r="I47" s="204"/>
      <c r="J47" s="204"/>
      <c r="K47" s="204"/>
      <c r="L47" s="204"/>
      <c r="M47" s="204"/>
      <c r="N47" s="205"/>
    </row>
    <row r="48" spans="2:14">
      <c r="B48" s="203"/>
      <c r="C48" s="204"/>
      <c r="D48" s="204"/>
      <c r="E48" s="205"/>
      <c r="F48" s="203"/>
      <c r="G48" s="204"/>
      <c r="H48" s="204"/>
      <c r="I48" s="204"/>
      <c r="J48" s="204"/>
      <c r="K48" s="204"/>
      <c r="L48" s="204"/>
      <c r="M48" s="204"/>
      <c r="N48" s="205"/>
    </row>
    <row r="49" spans="2:14">
      <c r="B49" s="203"/>
      <c r="C49" s="204"/>
      <c r="D49" s="204"/>
      <c r="E49" s="205"/>
      <c r="F49" s="203"/>
      <c r="G49" s="204"/>
      <c r="H49" s="204"/>
      <c r="I49" s="204"/>
      <c r="J49" s="204"/>
      <c r="K49" s="204"/>
      <c r="L49" s="204"/>
      <c r="M49" s="204"/>
      <c r="N49" s="205"/>
    </row>
    <row r="50" spans="2:14">
      <c r="B50" s="203"/>
      <c r="C50" s="204"/>
      <c r="D50" s="204"/>
      <c r="E50" s="205"/>
      <c r="F50" s="203"/>
      <c r="G50" s="204"/>
      <c r="H50" s="204"/>
      <c r="I50" s="204"/>
      <c r="J50" s="204"/>
      <c r="K50" s="204"/>
      <c r="L50" s="204"/>
      <c r="M50" s="204"/>
      <c r="N50" s="205"/>
    </row>
    <row r="51" spans="2:14">
      <c r="B51" s="203"/>
      <c r="C51" s="204"/>
      <c r="D51" s="204"/>
      <c r="E51" s="205"/>
      <c r="F51" s="203"/>
      <c r="G51" s="204"/>
      <c r="H51" s="204"/>
      <c r="I51" s="204"/>
      <c r="J51" s="204"/>
      <c r="K51" s="204"/>
      <c r="L51" s="204"/>
      <c r="M51" s="204"/>
      <c r="N51" s="205"/>
    </row>
    <row r="52" spans="2:14">
      <c r="B52" s="203"/>
      <c r="C52" s="204"/>
      <c r="D52" s="204"/>
      <c r="E52" s="205"/>
      <c r="F52" s="203"/>
      <c r="G52" s="204"/>
      <c r="H52" s="204"/>
      <c r="I52" s="204"/>
      <c r="J52" s="204"/>
      <c r="K52" s="204"/>
      <c r="L52" s="204"/>
      <c r="M52" s="204"/>
      <c r="N52" s="205"/>
    </row>
    <row r="53" spans="2:14">
      <c r="B53" s="203"/>
      <c r="C53" s="204"/>
      <c r="D53" s="204"/>
      <c r="E53" s="205"/>
      <c r="F53" s="203"/>
      <c r="G53" s="204"/>
      <c r="H53" s="204"/>
      <c r="I53" s="204"/>
      <c r="J53" s="204"/>
      <c r="K53" s="204"/>
      <c r="L53" s="204"/>
      <c r="M53" s="204"/>
      <c r="N53" s="205"/>
    </row>
    <row r="54" spans="2:14">
      <c r="B54" s="203"/>
      <c r="C54" s="204"/>
      <c r="D54" s="204"/>
      <c r="E54" s="205"/>
      <c r="F54" s="203"/>
      <c r="G54" s="204"/>
      <c r="H54" s="204"/>
      <c r="I54" s="204"/>
      <c r="J54" s="204"/>
      <c r="K54" s="204"/>
      <c r="L54" s="204"/>
      <c r="M54" s="204"/>
      <c r="N54" s="205"/>
    </row>
    <row r="55" spans="2:14" ht="17.25" thickBot="1">
      <c r="B55" s="206"/>
      <c r="C55" s="207"/>
      <c r="D55" s="207"/>
      <c r="E55" s="208"/>
      <c r="F55" s="206"/>
      <c r="G55" s="207"/>
      <c r="H55" s="207"/>
      <c r="I55" s="207"/>
      <c r="J55" s="207"/>
      <c r="K55" s="207"/>
      <c r="L55" s="207"/>
      <c r="M55" s="207"/>
      <c r="N55" s="208"/>
    </row>
    <row r="56" spans="2:14" ht="18" thickTop="1" thickBot="1">
      <c r="B56" s="209"/>
      <c r="C56" s="210"/>
      <c r="D56" s="210"/>
      <c r="E56" s="211"/>
      <c r="F56" s="209"/>
      <c r="G56" s="210"/>
      <c r="H56" s="210"/>
      <c r="I56" s="210"/>
      <c r="J56" s="210"/>
      <c r="K56" s="210"/>
      <c r="L56" s="210"/>
      <c r="M56" s="210"/>
      <c r="N56" s="211"/>
    </row>
    <row r="57" spans="2:14" ht="17.25" thickTop="1">
      <c r="B57" s="200"/>
      <c r="C57" s="201"/>
      <c r="D57" s="201"/>
      <c r="E57" s="202"/>
      <c r="F57" s="200"/>
      <c r="G57" s="201"/>
      <c r="H57" s="201"/>
      <c r="I57" s="201"/>
      <c r="J57" s="201"/>
      <c r="K57" s="201"/>
      <c r="L57" s="201"/>
      <c r="M57" s="201"/>
      <c r="N57" s="202"/>
    </row>
    <row r="58" spans="2:14">
      <c r="B58" s="203"/>
      <c r="C58" s="204"/>
      <c r="D58" s="204"/>
      <c r="E58" s="205"/>
      <c r="F58" s="203"/>
      <c r="G58" s="204"/>
      <c r="H58" s="204"/>
      <c r="I58" s="204"/>
      <c r="J58" s="204"/>
      <c r="K58" s="204"/>
      <c r="L58" s="204"/>
      <c r="M58" s="204"/>
      <c r="N58" s="205"/>
    </row>
    <row r="59" spans="2:14">
      <c r="B59" s="203"/>
      <c r="C59" s="204"/>
      <c r="D59" s="204"/>
      <c r="E59" s="205"/>
      <c r="F59" s="203"/>
      <c r="G59" s="204"/>
      <c r="H59" s="204"/>
      <c r="I59" s="204"/>
      <c r="J59" s="204"/>
      <c r="K59" s="204"/>
      <c r="L59" s="204"/>
      <c r="M59" s="204"/>
      <c r="N59" s="205"/>
    </row>
    <row r="60" spans="2:14">
      <c r="B60" s="203"/>
      <c r="C60" s="204"/>
      <c r="D60" s="204"/>
      <c r="E60" s="205"/>
      <c r="F60" s="203"/>
      <c r="G60" s="204"/>
      <c r="H60" s="204"/>
      <c r="I60" s="204"/>
      <c r="J60" s="204"/>
      <c r="K60" s="204"/>
      <c r="L60" s="204"/>
      <c r="M60" s="204"/>
      <c r="N60" s="205"/>
    </row>
    <row r="61" spans="2:14">
      <c r="B61" s="203"/>
      <c r="C61" s="204"/>
      <c r="D61" s="204"/>
      <c r="E61" s="205"/>
      <c r="F61" s="203"/>
      <c r="G61" s="204"/>
      <c r="H61" s="204"/>
      <c r="I61" s="204"/>
      <c r="J61" s="204"/>
      <c r="K61" s="204"/>
      <c r="L61" s="204"/>
      <c r="M61" s="204"/>
      <c r="N61" s="205"/>
    </row>
    <row r="62" spans="2:14">
      <c r="B62" s="203"/>
      <c r="C62" s="204"/>
      <c r="D62" s="204"/>
      <c r="E62" s="205"/>
      <c r="F62" s="203"/>
      <c r="G62" s="204"/>
      <c r="H62" s="204"/>
      <c r="I62" s="204"/>
      <c r="J62" s="204"/>
      <c r="K62" s="204"/>
      <c r="L62" s="204"/>
      <c r="M62" s="204"/>
      <c r="N62" s="205"/>
    </row>
    <row r="63" spans="2:14">
      <c r="B63" s="203"/>
      <c r="C63" s="204"/>
      <c r="D63" s="204"/>
      <c r="E63" s="205"/>
      <c r="F63" s="203"/>
      <c r="G63" s="204"/>
      <c r="H63" s="204"/>
      <c r="I63" s="204"/>
      <c r="J63" s="204"/>
      <c r="K63" s="204"/>
      <c r="L63" s="204"/>
      <c r="M63" s="204"/>
      <c r="N63" s="205"/>
    </row>
    <row r="64" spans="2:14">
      <c r="B64" s="203"/>
      <c r="C64" s="204"/>
      <c r="D64" s="204"/>
      <c r="E64" s="205"/>
      <c r="F64" s="203"/>
      <c r="G64" s="204"/>
      <c r="H64" s="204"/>
      <c r="I64" s="204"/>
      <c r="J64" s="204"/>
      <c r="K64" s="204"/>
      <c r="L64" s="204"/>
      <c r="M64" s="204"/>
      <c r="N64" s="205"/>
    </row>
    <row r="65" spans="2:14">
      <c r="B65" s="203"/>
      <c r="C65" s="204"/>
      <c r="D65" s="204"/>
      <c r="E65" s="205"/>
      <c r="F65" s="203"/>
      <c r="G65" s="204"/>
      <c r="H65" s="204"/>
      <c r="I65" s="204"/>
      <c r="J65" s="204"/>
      <c r="K65" s="204"/>
      <c r="L65" s="204"/>
      <c r="M65" s="204"/>
      <c r="N65" s="205"/>
    </row>
    <row r="66" spans="2:14">
      <c r="B66" s="203"/>
      <c r="C66" s="204"/>
      <c r="D66" s="204"/>
      <c r="E66" s="205"/>
      <c r="F66" s="203"/>
      <c r="G66" s="204"/>
      <c r="H66" s="204"/>
      <c r="I66" s="204"/>
      <c r="J66" s="204"/>
      <c r="K66" s="204"/>
      <c r="L66" s="204"/>
      <c r="M66" s="204"/>
      <c r="N66" s="205"/>
    </row>
    <row r="67" spans="2:14">
      <c r="B67" s="203"/>
      <c r="C67" s="204"/>
      <c r="D67" s="204"/>
      <c r="E67" s="205"/>
      <c r="F67" s="203"/>
      <c r="G67" s="204"/>
      <c r="H67" s="204"/>
      <c r="I67" s="204"/>
      <c r="J67" s="204"/>
      <c r="K67" s="204"/>
      <c r="L67" s="204"/>
      <c r="M67" s="204"/>
      <c r="N67" s="205"/>
    </row>
    <row r="68" spans="2:14">
      <c r="B68" s="203"/>
      <c r="C68" s="204"/>
      <c r="D68" s="204"/>
      <c r="E68" s="205"/>
      <c r="F68" s="203"/>
      <c r="G68" s="204"/>
      <c r="H68" s="204"/>
      <c r="I68" s="204"/>
      <c r="J68" s="204"/>
      <c r="K68" s="204"/>
      <c r="L68" s="204"/>
      <c r="M68" s="204"/>
      <c r="N68" s="205"/>
    </row>
    <row r="69" spans="2:14">
      <c r="B69" s="203"/>
      <c r="C69" s="204"/>
      <c r="D69" s="204"/>
      <c r="E69" s="205"/>
      <c r="F69" s="203"/>
      <c r="G69" s="204"/>
      <c r="H69" s="204"/>
      <c r="I69" s="204"/>
      <c r="J69" s="204"/>
      <c r="K69" s="204"/>
      <c r="L69" s="204"/>
      <c r="M69" s="204"/>
      <c r="N69" s="205"/>
    </row>
    <row r="70" spans="2:14">
      <c r="B70" s="203"/>
      <c r="C70" s="204"/>
      <c r="D70" s="204"/>
      <c r="E70" s="205"/>
      <c r="F70" s="203"/>
      <c r="G70" s="204"/>
      <c r="H70" s="204"/>
      <c r="I70" s="204"/>
      <c r="J70" s="204"/>
      <c r="K70" s="204"/>
      <c r="L70" s="204"/>
      <c r="M70" s="204"/>
      <c r="N70" s="205"/>
    </row>
    <row r="71" spans="2:14">
      <c r="B71" s="203"/>
      <c r="C71" s="204"/>
      <c r="D71" s="204"/>
      <c r="E71" s="205"/>
      <c r="F71" s="203"/>
      <c r="G71" s="204"/>
      <c r="H71" s="204"/>
      <c r="I71" s="204"/>
      <c r="J71" s="204"/>
      <c r="K71" s="204"/>
      <c r="L71" s="204"/>
      <c r="M71" s="204"/>
      <c r="N71" s="205"/>
    </row>
    <row r="72" spans="2:14">
      <c r="B72" s="203"/>
      <c r="C72" s="204"/>
      <c r="D72" s="204"/>
      <c r="E72" s="205"/>
      <c r="F72" s="203"/>
      <c r="G72" s="204"/>
      <c r="H72" s="204"/>
      <c r="I72" s="204"/>
      <c r="J72" s="204"/>
      <c r="K72" s="204"/>
      <c r="L72" s="204"/>
      <c r="M72" s="204"/>
      <c r="N72" s="205"/>
    </row>
    <row r="73" spans="2:14">
      <c r="B73" s="203"/>
      <c r="C73" s="204"/>
      <c r="D73" s="204"/>
      <c r="E73" s="205"/>
      <c r="F73" s="203"/>
      <c r="G73" s="204"/>
      <c r="H73" s="204"/>
      <c r="I73" s="204"/>
      <c r="J73" s="204"/>
      <c r="K73" s="204"/>
      <c r="L73" s="204"/>
      <c r="M73" s="204"/>
      <c r="N73" s="205"/>
    </row>
    <row r="74" spans="2:14">
      <c r="B74" s="203"/>
      <c r="C74" s="204"/>
      <c r="D74" s="204"/>
      <c r="E74" s="205"/>
      <c r="F74" s="203"/>
      <c r="G74" s="204"/>
      <c r="H74" s="204"/>
      <c r="I74" s="204"/>
      <c r="J74" s="204"/>
      <c r="K74" s="204"/>
      <c r="L74" s="204"/>
      <c r="M74" s="204"/>
      <c r="N74" s="205"/>
    </row>
    <row r="75" spans="2:14">
      <c r="B75" s="203"/>
      <c r="C75" s="204"/>
      <c r="D75" s="204"/>
      <c r="E75" s="205"/>
      <c r="F75" s="203"/>
      <c r="G75" s="204"/>
      <c r="H75" s="204"/>
      <c r="I75" s="204"/>
      <c r="J75" s="204"/>
      <c r="K75" s="204"/>
      <c r="L75" s="204"/>
      <c r="M75" s="204"/>
      <c r="N75" s="205"/>
    </row>
    <row r="76" spans="2:14">
      <c r="B76" s="203"/>
      <c r="C76" s="204"/>
      <c r="D76" s="204"/>
      <c r="E76" s="205"/>
      <c r="F76" s="203"/>
      <c r="G76" s="204"/>
      <c r="H76" s="204"/>
      <c r="I76" s="204"/>
      <c r="J76" s="204"/>
      <c r="K76" s="204"/>
      <c r="L76" s="204"/>
      <c r="M76" s="204"/>
      <c r="N76" s="205"/>
    </row>
    <row r="77" spans="2:14" ht="17.25" thickBot="1">
      <c r="B77" s="206"/>
      <c r="C77" s="207"/>
      <c r="D77" s="207"/>
      <c r="E77" s="208"/>
      <c r="F77" s="206"/>
      <c r="G77" s="207"/>
      <c r="H77" s="207"/>
      <c r="I77" s="207"/>
      <c r="J77" s="207"/>
      <c r="K77" s="207"/>
      <c r="L77" s="207"/>
      <c r="M77" s="207"/>
      <c r="N77" s="208"/>
    </row>
    <row r="78" spans="2:14" ht="18" thickTop="1" thickBot="1">
      <c r="B78" s="209"/>
      <c r="C78" s="210"/>
      <c r="D78" s="210"/>
      <c r="E78" s="211"/>
      <c r="F78" s="209"/>
      <c r="G78" s="210"/>
      <c r="H78" s="210"/>
      <c r="I78" s="210"/>
      <c r="J78" s="210"/>
      <c r="K78" s="210"/>
      <c r="L78" s="210"/>
      <c r="M78" s="210"/>
      <c r="N78" s="211"/>
    </row>
    <row r="79" spans="2:14" ht="17.25" thickTop="1">
      <c r="B79" s="200"/>
      <c r="C79" s="201"/>
      <c r="D79" s="201"/>
      <c r="E79" s="202"/>
      <c r="F79" s="200"/>
      <c r="G79" s="201"/>
      <c r="H79" s="201"/>
      <c r="I79" s="201"/>
      <c r="J79" s="201"/>
      <c r="K79" s="201"/>
      <c r="L79" s="201"/>
      <c r="M79" s="201"/>
      <c r="N79" s="202"/>
    </row>
    <row r="80" spans="2:14">
      <c r="B80" s="203"/>
      <c r="C80" s="204"/>
      <c r="D80" s="204"/>
      <c r="E80" s="205"/>
      <c r="F80" s="203"/>
      <c r="G80" s="204"/>
      <c r="H80" s="204"/>
      <c r="I80" s="204"/>
      <c r="J80" s="204"/>
      <c r="K80" s="204"/>
      <c r="L80" s="204"/>
      <c r="M80" s="204"/>
      <c r="N80" s="205"/>
    </row>
    <row r="81" spans="2:14">
      <c r="B81" s="203"/>
      <c r="C81" s="204"/>
      <c r="D81" s="204"/>
      <c r="E81" s="205"/>
      <c r="F81" s="203"/>
      <c r="G81" s="204"/>
      <c r="H81" s="204"/>
      <c r="I81" s="204"/>
      <c r="J81" s="204"/>
      <c r="K81" s="204"/>
      <c r="L81" s="204"/>
      <c r="M81" s="204"/>
      <c r="N81" s="205"/>
    </row>
    <row r="82" spans="2:14">
      <c r="B82" s="203"/>
      <c r="C82" s="204"/>
      <c r="D82" s="204"/>
      <c r="E82" s="205"/>
      <c r="F82" s="203"/>
      <c r="G82" s="204"/>
      <c r="H82" s="204"/>
      <c r="I82" s="204"/>
      <c r="J82" s="204"/>
      <c r="K82" s="204"/>
      <c r="L82" s="204"/>
      <c r="M82" s="204"/>
      <c r="N82" s="205"/>
    </row>
    <row r="83" spans="2:14">
      <c r="B83" s="203"/>
      <c r="C83" s="204"/>
      <c r="D83" s="204"/>
      <c r="E83" s="205"/>
      <c r="F83" s="203"/>
      <c r="G83" s="204"/>
      <c r="H83" s="204"/>
      <c r="I83" s="204"/>
      <c r="J83" s="204"/>
      <c r="K83" s="204"/>
      <c r="L83" s="204"/>
      <c r="M83" s="204"/>
      <c r="N83" s="205"/>
    </row>
    <row r="84" spans="2:14">
      <c r="B84" s="203"/>
      <c r="C84" s="204"/>
      <c r="D84" s="204"/>
      <c r="E84" s="205"/>
      <c r="F84" s="203"/>
      <c r="G84" s="204"/>
      <c r="H84" s="204"/>
      <c r="I84" s="204"/>
      <c r="J84" s="204"/>
      <c r="K84" s="204"/>
      <c r="L84" s="204"/>
      <c r="M84" s="204"/>
      <c r="N84" s="205"/>
    </row>
    <row r="85" spans="2:14">
      <c r="B85" s="203"/>
      <c r="C85" s="204"/>
      <c r="D85" s="204"/>
      <c r="E85" s="205"/>
      <c r="F85" s="203"/>
      <c r="G85" s="204"/>
      <c r="H85" s="204"/>
      <c r="I85" s="204"/>
      <c r="J85" s="204"/>
      <c r="K85" s="204"/>
      <c r="L85" s="204"/>
      <c r="M85" s="204"/>
      <c r="N85" s="205"/>
    </row>
    <row r="86" spans="2:14">
      <c r="B86" s="203"/>
      <c r="C86" s="204"/>
      <c r="D86" s="204"/>
      <c r="E86" s="205"/>
      <c r="F86" s="203"/>
      <c r="G86" s="204"/>
      <c r="H86" s="204"/>
      <c r="I86" s="204"/>
      <c r="J86" s="204"/>
      <c r="K86" s="204"/>
      <c r="L86" s="204"/>
      <c r="M86" s="204"/>
      <c r="N86" s="205"/>
    </row>
    <row r="87" spans="2:14">
      <c r="B87" s="203"/>
      <c r="C87" s="204"/>
      <c r="D87" s="204"/>
      <c r="E87" s="205"/>
      <c r="F87" s="203"/>
      <c r="G87" s="204"/>
      <c r="H87" s="204"/>
      <c r="I87" s="204"/>
      <c r="J87" s="204"/>
      <c r="K87" s="204"/>
      <c r="L87" s="204"/>
      <c r="M87" s="204"/>
      <c r="N87" s="205"/>
    </row>
    <row r="88" spans="2:14">
      <c r="B88" s="203"/>
      <c r="C88" s="204"/>
      <c r="D88" s="204"/>
      <c r="E88" s="205"/>
      <c r="F88" s="203"/>
      <c r="G88" s="204"/>
      <c r="H88" s="204"/>
      <c r="I88" s="204"/>
      <c r="J88" s="204"/>
      <c r="K88" s="204"/>
      <c r="L88" s="204"/>
      <c r="M88" s="204"/>
      <c r="N88" s="205"/>
    </row>
    <row r="89" spans="2:14">
      <c r="B89" s="203"/>
      <c r="C89" s="204"/>
      <c r="D89" s="204"/>
      <c r="E89" s="205"/>
      <c r="F89" s="203"/>
      <c r="G89" s="204"/>
      <c r="H89" s="204"/>
      <c r="I89" s="204"/>
      <c r="J89" s="204"/>
      <c r="K89" s="204"/>
      <c r="L89" s="204"/>
      <c r="M89" s="204"/>
      <c r="N89" s="205"/>
    </row>
    <row r="90" spans="2:14">
      <c r="B90" s="203"/>
      <c r="C90" s="204"/>
      <c r="D90" s="204"/>
      <c r="E90" s="205"/>
      <c r="F90" s="203"/>
      <c r="G90" s="204"/>
      <c r="H90" s="204"/>
      <c r="I90" s="204"/>
      <c r="J90" s="204"/>
      <c r="K90" s="204"/>
      <c r="L90" s="204"/>
      <c r="M90" s="204"/>
      <c r="N90" s="205"/>
    </row>
    <row r="91" spans="2:14">
      <c r="B91" s="203"/>
      <c r="C91" s="204"/>
      <c r="D91" s="204"/>
      <c r="E91" s="205"/>
      <c r="F91" s="203"/>
      <c r="G91" s="204"/>
      <c r="H91" s="204"/>
      <c r="I91" s="204"/>
      <c r="J91" s="204"/>
      <c r="K91" s="204"/>
      <c r="L91" s="204"/>
      <c r="M91" s="204"/>
      <c r="N91" s="205"/>
    </row>
    <row r="92" spans="2:14">
      <c r="B92" s="203"/>
      <c r="C92" s="204"/>
      <c r="D92" s="204"/>
      <c r="E92" s="205"/>
      <c r="F92" s="203"/>
      <c r="G92" s="204"/>
      <c r="H92" s="204"/>
      <c r="I92" s="204"/>
      <c r="J92" s="204"/>
      <c r="K92" s="204"/>
      <c r="L92" s="204"/>
      <c r="M92" s="204"/>
      <c r="N92" s="205"/>
    </row>
    <row r="93" spans="2:14">
      <c r="B93" s="203"/>
      <c r="C93" s="204"/>
      <c r="D93" s="204"/>
      <c r="E93" s="205"/>
      <c r="F93" s="203"/>
      <c r="G93" s="204"/>
      <c r="H93" s="204"/>
      <c r="I93" s="204"/>
      <c r="J93" s="204"/>
      <c r="K93" s="204"/>
      <c r="L93" s="204"/>
      <c r="M93" s="204"/>
      <c r="N93" s="205"/>
    </row>
    <row r="94" spans="2:14">
      <c r="B94" s="203"/>
      <c r="C94" s="204"/>
      <c r="D94" s="204"/>
      <c r="E94" s="205"/>
      <c r="F94" s="203"/>
      <c r="G94" s="204"/>
      <c r="H94" s="204"/>
      <c r="I94" s="204"/>
      <c r="J94" s="204"/>
      <c r="K94" s="204"/>
      <c r="L94" s="204"/>
      <c r="M94" s="204"/>
      <c r="N94" s="205"/>
    </row>
    <row r="95" spans="2:14">
      <c r="B95" s="203"/>
      <c r="C95" s="204"/>
      <c r="D95" s="204"/>
      <c r="E95" s="205"/>
      <c r="F95" s="203"/>
      <c r="G95" s="204"/>
      <c r="H95" s="204"/>
      <c r="I95" s="204"/>
      <c r="J95" s="204"/>
      <c r="K95" s="204"/>
      <c r="L95" s="204"/>
      <c r="M95" s="204"/>
      <c r="N95" s="205"/>
    </row>
    <row r="96" spans="2:14">
      <c r="B96" s="203"/>
      <c r="C96" s="204"/>
      <c r="D96" s="204"/>
      <c r="E96" s="205"/>
      <c r="F96" s="203"/>
      <c r="G96" s="204"/>
      <c r="H96" s="204"/>
      <c r="I96" s="204"/>
      <c r="J96" s="204"/>
      <c r="K96" s="204"/>
      <c r="L96" s="204"/>
      <c r="M96" s="204"/>
      <c r="N96" s="205"/>
    </row>
    <row r="97" spans="2:14">
      <c r="B97" s="203"/>
      <c r="C97" s="204"/>
      <c r="D97" s="204"/>
      <c r="E97" s="205"/>
      <c r="F97" s="203"/>
      <c r="G97" s="204"/>
      <c r="H97" s="204"/>
      <c r="I97" s="204"/>
      <c r="J97" s="204"/>
      <c r="K97" s="204"/>
      <c r="L97" s="204"/>
      <c r="M97" s="204"/>
      <c r="N97" s="205"/>
    </row>
    <row r="98" spans="2:14">
      <c r="B98" s="203"/>
      <c r="C98" s="204"/>
      <c r="D98" s="204"/>
      <c r="E98" s="205"/>
      <c r="F98" s="203"/>
      <c r="G98" s="204"/>
      <c r="H98" s="204"/>
      <c r="I98" s="204"/>
      <c r="J98" s="204"/>
      <c r="K98" s="204"/>
      <c r="L98" s="204"/>
      <c r="M98" s="204"/>
      <c r="N98" s="205"/>
    </row>
    <row r="99" spans="2:14" ht="17.25" thickBot="1">
      <c r="B99" s="206"/>
      <c r="C99" s="207"/>
      <c r="D99" s="207"/>
      <c r="E99" s="208"/>
      <c r="F99" s="206"/>
      <c r="G99" s="207"/>
      <c r="H99" s="207"/>
      <c r="I99" s="207"/>
      <c r="J99" s="207"/>
      <c r="K99" s="207"/>
      <c r="L99" s="207"/>
      <c r="M99" s="207"/>
      <c r="N99" s="208"/>
    </row>
    <row r="100" spans="2:14" ht="18" thickTop="1" thickBot="1">
      <c r="B100" s="209"/>
      <c r="C100" s="210"/>
      <c r="D100" s="210"/>
      <c r="E100" s="211"/>
      <c r="F100" s="209"/>
      <c r="G100" s="210"/>
      <c r="H100" s="210"/>
      <c r="I100" s="210"/>
      <c r="J100" s="210"/>
      <c r="K100" s="210"/>
      <c r="L100" s="210"/>
      <c r="M100" s="210"/>
      <c r="N100" s="211"/>
    </row>
    <row r="101" spans="2:14" ht="17.25" thickTop="1">
      <c r="B101" s="200"/>
      <c r="C101" s="201"/>
      <c r="D101" s="201"/>
      <c r="E101" s="202"/>
      <c r="F101" s="200"/>
      <c r="G101" s="201"/>
      <c r="H101" s="201"/>
      <c r="I101" s="201"/>
      <c r="J101" s="201"/>
      <c r="K101" s="201"/>
      <c r="L101" s="201"/>
      <c r="M101" s="201"/>
      <c r="N101" s="202"/>
    </row>
    <row r="102" spans="2:14">
      <c r="B102" s="203"/>
      <c r="C102" s="204"/>
      <c r="D102" s="204"/>
      <c r="E102" s="205"/>
      <c r="F102" s="203"/>
      <c r="G102" s="204"/>
      <c r="H102" s="204"/>
      <c r="I102" s="204"/>
      <c r="J102" s="204"/>
      <c r="K102" s="204"/>
      <c r="L102" s="204"/>
      <c r="M102" s="204"/>
      <c r="N102" s="205"/>
    </row>
    <row r="103" spans="2:14">
      <c r="B103" s="203"/>
      <c r="C103" s="204"/>
      <c r="D103" s="204"/>
      <c r="E103" s="205"/>
      <c r="F103" s="203"/>
      <c r="G103" s="204"/>
      <c r="H103" s="204"/>
      <c r="I103" s="204"/>
      <c r="J103" s="204"/>
      <c r="K103" s="204"/>
      <c r="L103" s="204"/>
      <c r="M103" s="204"/>
      <c r="N103" s="205"/>
    </row>
    <row r="104" spans="2:14">
      <c r="B104" s="203"/>
      <c r="C104" s="204"/>
      <c r="D104" s="204"/>
      <c r="E104" s="205"/>
      <c r="F104" s="203"/>
      <c r="G104" s="204"/>
      <c r="H104" s="204"/>
      <c r="I104" s="204"/>
      <c r="J104" s="204"/>
      <c r="K104" s="204"/>
      <c r="L104" s="204"/>
      <c r="M104" s="204"/>
      <c r="N104" s="205"/>
    </row>
    <row r="105" spans="2:14">
      <c r="B105" s="203"/>
      <c r="C105" s="204"/>
      <c r="D105" s="204"/>
      <c r="E105" s="205"/>
      <c r="F105" s="203"/>
      <c r="G105" s="204"/>
      <c r="H105" s="204"/>
      <c r="I105" s="204"/>
      <c r="J105" s="204"/>
      <c r="K105" s="204"/>
      <c r="L105" s="204"/>
      <c r="M105" s="204"/>
      <c r="N105" s="205"/>
    </row>
    <row r="106" spans="2:14">
      <c r="B106" s="203"/>
      <c r="C106" s="204"/>
      <c r="D106" s="204"/>
      <c r="E106" s="205"/>
      <c r="F106" s="203"/>
      <c r="G106" s="204"/>
      <c r="H106" s="204"/>
      <c r="I106" s="204"/>
      <c r="J106" s="204"/>
      <c r="K106" s="204"/>
      <c r="L106" s="204"/>
      <c r="M106" s="204"/>
      <c r="N106" s="205"/>
    </row>
    <row r="107" spans="2:14">
      <c r="B107" s="203"/>
      <c r="C107" s="204"/>
      <c r="D107" s="204"/>
      <c r="E107" s="205"/>
      <c r="F107" s="203"/>
      <c r="G107" s="204"/>
      <c r="H107" s="204"/>
      <c r="I107" s="204"/>
      <c r="J107" s="204"/>
      <c r="K107" s="204"/>
      <c r="L107" s="204"/>
      <c r="M107" s="204"/>
      <c r="N107" s="205"/>
    </row>
    <row r="108" spans="2:14">
      <c r="B108" s="203"/>
      <c r="C108" s="204"/>
      <c r="D108" s="204"/>
      <c r="E108" s="205"/>
      <c r="F108" s="203"/>
      <c r="G108" s="204"/>
      <c r="H108" s="204"/>
      <c r="I108" s="204"/>
      <c r="J108" s="204"/>
      <c r="K108" s="204"/>
      <c r="L108" s="204"/>
      <c r="M108" s="204"/>
      <c r="N108" s="205"/>
    </row>
    <row r="109" spans="2:14">
      <c r="B109" s="203"/>
      <c r="C109" s="204"/>
      <c r="D109" s="204"/>
      <c r="E109" s="205"/>
      <c r="F109" s="203"/>
      <c r="G109" s="204"/>
      <c r="H109" s="204"/>
      <c r="I109" s="204"/>
      <c r="J109" s="204"/>
      <c r="K109" s="204"/>
      <c r="L109" s="204"/>
      <c r="M109" s="204"/>
      <c r="N109" s="205"/>
    </row>
    <row r="110" spans="2:14">
      <c r="B110" s="203"/>
      <c r="C110" s="204"/>
      <c r="D110" s="204"/>
      <c r="E110" s="205"/>
      <c r="F110" s="203"/>
      <c r="G110" s="204"/>
      <c r="H110" s="204"/>
      <c r="I110" s="204"/>
      <c r="J110" s="204"/>
      <c r="K110" s="204"/>
      <c r="L110" s="204"/>
      <c r="M110" s="204"/>
      <c r="N110" s="205"/>
    </row>
    <row r="111" spans="2:14">
      <c r="B111" s="203"/>
      <c r="C111" s="204"/>
      <c r="D111" s="204"/>
      <c r="E111" s="205"/>
      <c r="F111" s="203"/>
      <c r="G111" s="204"/>
      <c r="H111" s="204"/>
      <c r="I111" s="204"/>
      <c r="J111" s="204"/>
      <c r="K111" s="204"/>
      <c r="L111" s="204"/>
      <c r="M111" s="204"/>
      <c r="N111" s="205"/>
    </row>
    <row r="112" spans="2:14">
      <c r="B112" s="203"/>
      <c r="C112" s="204"/>
      <c r="D112" s="204"/>
      <c r="E112" s="205"/>
      <c r="F112" s="203"/>
      <c r="G112" s="204"/>
      <c r="H112" s="204"/>
      <c r="I112" s="204"/>
      <c r="J112" s="204"/>
      <c r="K112" s="204"/>
      <c r="L112" s="204"/>
      <c r="M112" s="204"/>
      <c r="N112" s="205"/>
    </row>
    <row r="113" spans="2:14">
      <c r="B113" s="203"/>
      <c r="C113" s="204"/>
      <c r="D113" s="204"/>
      <c r="E113" s="205"/>
      <c r="F113" s="203"/>
      <c r="G113" s="204"/>
      <c r="H113" s="204"/>
      <c r="I113" s="204"/>
      <c r="J113" s="204"/>
      <c r="K113" s="204"/>
      <c r="L113" s="204"/>
      <c r="M113" s="204"/>
      <c r="N113" s="205"/>
    </row>
    <row r="114" spans="2:14">
      <c r="B114" s="203"/>
      <c r="C114" s="204"/>
      <c r="D114" s="204"/>
      <c r="E114" s="205"/>
      <c r="F114" s="203"/>
      <c r="G114" s="204"/>
      <c r="H114" s="204"/>
      <c r="I114" s="204"/>
      <c r="J114" s="204"/>
      <c r="K114" s="204"/>
      <c r="L114" s="204"/>
      <c r="M114" s="204"/>
      <c r="N114" s="205"/>
    </row>
    <row r="115" spans="2:14">
      <c r="B115" s="203"/>
      <c r="C115" s="204"/>
      <c r="D115" s="204"/>
      <c r="E115" s="205"/>
      <c r="F115" s="203"/>
      <c r="G115" s="204"/>
      <c r="H115" s="204"/>
      <c r="I115" s="204"/>
      <c r="J115" s="204"/>
      <c r="K115" s="204"/>
      <c r="L115" s="204"/>
      <c r="M115" s="204"/>
      <c r="N115" s="205"/>
    </row>
    <row r="116" spans="2:14">
      <c r="B116" s="203"/>
      <c r="C116" s="204"/>
      <c r="D116" s="204"/>
      <c r="E116" s="205"/>
      <c r="F116" s="203"/>
      <c r="G116" s="204"/>
      <c r="H116" s="204"/>
      <c r="I116" s="204"/>
      <c r="J116" s="204"/>
      <c r="K116" s="204"/>
      <c r="L116" s="204"/>
      <c r="M116" s="204"/>
      <c r="N116" s="205"/>
    </row>
    <row r="117" spans="2:14">
      <c r="B117" s="203"/>
      <c r="C117" s="204"/>
      <c r="D117" s="204"/>
      <c r="E117" s="205"/>
      <c r="F117" s="203"/>
      <c r="G117" s="204"/>
      <c r="H117" s="204"/>
      <c r="I117" s="204"/>
      <c r="J117" s="204"/>
      <c r="K117" s="204"/>
      <c r="L117" s="204"/>
      <c r="M117" s="204"/>
      <c r="N117" s="205"/>
    </row>
    <row r="118" spans="2:14">
      <c r="B118" s="203"/>
      <c r="C118" s="204"/>
      <c r="D118" s="204"/>
      <c r="E118" s="205"/>
      <c r="F118" s="203"/>
      <c r="G118" s="204"/>
      <c r="H118" s="204"/>
      <c r="I118" s="204"/>
      <c r="J118" s="204"/>
      <c r="K118" s="204"/>
      <c r="L118" s="204"/>
      <c r="M118" s="204"/>
      <c r="N118" s="205"/>
    </row>
    <row r="119" spans="2:14">
      <c r="B119" s="203"/>
      <c r="C119" s="204"/>
      <c r="D119" s="204"/>
      <c r="E119" s="205"/>
      <c r="F119" s="203"/>
      <c r="G119" s="204"/>
      <c r="H119" s="204"/>
      <c r="I119" s="204"/>
      <c r="J119" s="204"/>
      <c r="K119" s="204"/>
      <c r="L119" s="204"/>
      <c r="M119" s="204"/>
      <c r="N119" s="205"/>
    </row>
    <row r="120" spans="2:14">
      <c r="B120" s="203"/>
      <c r="C120" s="204"/>
      <c r="D120" s="204"/>
      <c r="E120" s="205"/>
      <c r="F120" s="203"/>
      <c r="G120" s="204"/>
      <c r="H120" s="204"/>
      <c r="I120" s="204"/>
      <c r="J120" s="204"/>
      <c r="K120" s="204"/>
      <c r="L120" s="204"/>
      <c r="M120" s="204"/>
      <c r="N120" s="205"/>
    </row>
    <row r="121" spans="2:14" ht="17.25" thickBot="1">
      <c r="B121" s="206"/>
      <c r="C121" s="207"/>
      <c r="D121" s="207"/>
      <c r="E121" s="208"/>
      <c r="F121" s="206"/>
      <c r="G121" s="207"/>
      <c r="H121" s="207"/>
      <c r="I121" s="207"/>
      <c r="J121" s="207"/>
      <c r="K121" s="207"/>
      <c r="L121" s="207"/>
      <c r="M121" s="207"/>
      <c r="N121" s="208"/>
    </row>
    <row r="122" spans="2:14" ht="18" thickTop="1" thickBot="1">
      <c r="B122" s="209"/>
      <c r="C122" s="210"/>
      <c r="D122" s="210"/>
      <c r="E122" s="211"/>
      <c r="F122" s="209"/>
      <c r="G122" s="210"/>
      <c r="H122" s="210"/>
      <c r="I122" s="210"/>
      <c r="J122" s="210"/>
      <c r="K122" s="210"/>
      <c r="L122" s="210"/>
      <c r="M122" s="210"/>
      <c r="N122" s="211"/>
    </row>
    <row r="123" spans="2:14" ht="17.25" thickTop="1">
      <c r="B123" s="200"/>
      <c r="C123" s="201"/>
      <c r="D123" s="201"/>
      <c r="E123" s="202"/>
      <c r="F123" s="200"/>
      <c r="G123" s="201"/>
      <c r="H123" s="201"/>
      <c r="I123" s="201"/>
      <c r="J123" s="201"/>
      <c r="K123" s="201"/>
      <c r="L123" s="201"/>
      <c r="M123" s="201"/>
      <c r="N123" s="202"/>
    </row>
    <row r="124" spans="2:14">
      <c r="B124" s="203"/>
      <c r="C124" s="204"/>
      <c r="D124" s="204"/>
      <c r="E124" s="205"/>
      <c r="F124" s="203"/>
      <c r="G124" s="204"/>
      <c r="H124" s="204"/>
      <c r="I124" s="204"/>
      <c r="J124" s="204"/>
      <c r="K124" s="204"/>
      <c r="L124" s="204"/>
      <c r="M124" s="204"/>
      <c r="N124" s="205"/>
    </row>
    <row r="125" spans="2:14">
      <c r="B125" s="203"/>
      <c r="C125" s="204"/>
      <c r="D125" s="204"/>
      <c r="E125" s="205"/>
      <c r="F125" s="203"/>
      <c r="G125" s="204"/>
      <c r="H125" s="204"/>
      <c r="I125" s="204"/>
      <c r="J125" s="204"/>
      <c r="K125" s="204"/>
      <c r="L125" s="204"/>
      <c r="M125" s="204"/>
      <c r="N125" s="205"/>
    </row>
    <row r="126" spans="2:14">
      <c r="B126" s="203"/>
      <c r="C126" s="204"/>
      <c r="D126" s="204"/>
      <c r="E126" s="205"/>
      <c r="F126" s="203"/>
      <c r="G126" s="204"/>
      <c r="H126" s="204"/>
      <c r="I126" s="204"/>
      <c r="J126" s="204"/>
      <c r="K126" s="204"/>
      <c r="L126" s="204"/>
      <c r="M126" s="204"/>
      <c r="N126" s="205"/>
    </row>
    <row r="127" spans="2:14">
      <c r="B127" s="203"/>
      <c r="C127" s="204"/>
      <c r="D127" s="204"/>
      <c r="E127" s="205"/>
      <c r="F127" s="203"/>
      <c r="G127" s="204"/>
      <c r="H127" s="204"/>
      <c r="I127" s="204"/>
      <c r="J127" s="204"/>
      <c r="K127" s="204"/>
      <c r="L127" s="204"/>
      <c r="M127" s="204"/>
      <c r="N127" s="205"/>
    </row>
    <row r="128" spans="2:14">
      <c r="B128" s="203"/>
      <c r="C128" s="204"/>
      <c r="D128" s="204"/>
      <c r="E128" s="205"/>
      <c r="F128" s="203"/>
      <c r="G128" s="204"/>
      <c r="H128" s="204"/>
      <c r="I128" s="204"/>
      <c r="J128" s="204"/>
      <c r="K128" s="204"/>
      <c r="L128" s="204"/>
      <c r="M128" s="204"/>
      <c r="N128" s="205"/>
    </row>
    <row r="129" spans="2:14">
      <c r="B129" s="203"/>
      <c r="C129" s="204"/>
      <c r="D129" s="204"/>
      <c r="E129" s="205"/>
      <c r="F129" s="203"/>
      <c r="G129" s="204"/>
      <c r="H129" s="204"/>
      <c r="I129" s="204"/>
      <c r="J129" s="204"/>
      <c r="K129" s="204"/>
      <c r="L129" s="204"/>
      <c r="M129" s="204"/>
      <c r="N129" s="205"/>
    </row>
    <row r="130" spans="2:14">
      <c r="B130" s="203"/>
      <c r="C130" s="204"/>
      <c r="D130" s="204"/>
      <c r="E130" s="205"/>
      <c r="F130" s="203"/>
      <c r="G130" s="204"/>
      <c r="H130" s="204"/>
      <c r="I130" s="204"/>
      <c r="J130" s="204"/>
      <c r="K130" s="204"/>
      <c r="L130" s="204"/>
      <c r="M130" s="204"/>
      <c r="N130" s="205"/>
    </row>
    <row r="131" spans="2:14">
      <c r="B131" s="203"/>
      <c r="C131" s="204"/>
      <c r="D131" s="204"/>
      <c r="E131" s="205"/>
      <c r="F131" s="203"/>
      <c r="G131" s="204"/>
      <c r="H131" s="204"/>
      <c r="I131" s="204"/>
      <c r="J131" s="204"/>
      <c r="K131" s="204"/>
      <c r="L131" s="204"/>
      <c r="M131" s="204"/>
      <c r="N131" s="205"/>
    </row>
    <row r="132" spans="2:14">
      <c r="B132" s="203"/>
      <c r="C132" s="204"/>
      <c r="D132" s="204"/>
      <c r="E132" s="205"/>
      <c r="F132" s="203"/>
      <c r="G132" s="204"/>
      <c r="H132" s="204"/>
      <c r="I132" s="204"/>
      <c r="J132" s="204"/>
      <c r="K132" s="204"/>
      <c r="L132" s="204"/>
      <c r="M132" s="204"/>
      <c r="N132" s="205"/>
    </row>
    <row r="133" spans="2:14">
      <c r="B133" s="203"/>
      <c r="C133" s="204"/>
      <c r="D133" s="204"/>
      <c r="E133" s="205"/>
      <c r="F133" s="203"/>
      <c r="G133" s="204"/>
      <c r="H133" s="204"/>
      <c r="I133" s="204"/>
      <c r="J133" s="204"/>
      <c r="K133" s="204"/>
      <c r="L133" s="204"/>
      <c r="M133" s="204"/>
      <c r="N133" s="205"/>
    </row>
    <row r="134" spans="2:14">
      <c r="B134" s="203"/>
      <c r="C134" s="204"/>
      <c r="D134" s="204"/>
      <c r="E134" s="205"/>
      <c r="F134" s="203"/>
      <c r="G134" s="204"/>
      <c r="H134" s="204"/>
      <c r="I134" s="204"/>
      <c r="J134" s="204"/>
      <c r="K134" s="204"/>
      <c r="L134" s="204"/>
      <c r="M134" s="204"/>
      <c r="N134" s="205"/>
    </row>
    <row r="135" spans="2:14">
      <c r="B135" s="203"/>
      <c r="C135" s="204"/>
      <c r="D135" s="204"/>
      <c r="E135" s="205"/>
      <c r="F135" s="203"/>
      <c r="G135" s="204"/>
      <c r="H135" s="204"/>
      <c r="I135" s="204"/>
      <c r="J135" s="204"/>
      <c r="K135" s="204"/>
      <c r="L135" s="204"/>
      <c r="M135" s="204"/>
      <c r="N135" s="205"/>
    </row>
    <row r="136" spans="2:14">
      <c r="B136" s="203"/>
      <c r="C136" s="204"/>
      <c r="D136" s="204"/>
      <c r="E136" s="205"/>
      <c r="F136" s="203"/>
      <c r="G136" s="204"/>
      <c r="H136" s="204"/>
      <c r="I136" s="204"/>
      <c r="J136" s="204"/>
      <c r="K136" s="204"/>
      <c r="L136" s="204"/>
      <c r="M136" s="204"/>
      <c r="N136" s="205"/>
    </row>
    <row r="137" spans="2:14">
      <c r="B137" s="203"/>
      <c r="C137" s="204"/>
      <c r="D137" s="204"/>
      <c r="E137" s="205"/>
      <c r="F137" s="203"/>
      <c r="G137" s="204"/>
      <c r="H137" s="204"/>
      <c r="I137" s="204"/>
      <c r="J137" s="204"/>
      <c r="K137" s="204"/>
      <c r="L137" s="204"/>
      <c r="M137" s="204"/>
      <c r="N137" s="205"/>
    </row>
    <row r="138" spans="2:14">
      <c r="B138" s="203"/>
      <c r="C138" s="204"/>
      <c r="D138" s="204"/>
      <c r="E138" s="205"/>
      <c r="F138" s="203"/>
      <c r="G138" s="204"/>
      <c r="H138" s="204"/>
      <c r="I138" s="204"/>
      <c r="J138" s="204"/>
      <c r="K138" s="204"/>
      <c r="L138" s="204"/>
      <c r="M138" s="204"/>
      <c r="N138" s="205"/>
    </row>
    <row r="139" spans="2:14">
      <c r="B139" s="203"/>
      <c r="C139" s="204"/>
      <c r="D139" s="204"/>
      <c r="E139" s="205"/>
      <c r="F139" s="203"/>
      <c r="G139" s="204"/>
      <c r="H139" s="204"/>
      <c r="I139" s="204"/>
      <c r="J139" s="204"/>
      <c r="K139" s="204"/>
      <c r="L139" s="204"/>
      <c r="M139" s="204"/>
      <c r="N139" s="205"/>
    </row>
    <row r="140" spans="2:14">
      <c r="B140" s="203"/>
      <c r="C140" s="204"/>
      <c r="D140" s="204"/>
      <c r="E140" s="205"/>
      <c r="F140" s="203"/>
      <c r="G140" s="204"/>
      <c r="H140" s="204"/>
      <c r="I140" s="204"/>
      <c r="J140" s="204"/>
      <c r="K140" s="204"/>
      <c r="L140" s="204"/>
      <c r="M140" s="204"/>
      <c r="N140" s="205"/>
    </row>
    <row r="141" spans="2:14">
      <c r="B141" s="203"/>
      <c r="C141" s="204"/>
      <c r="D141" s="204"/>
      <c r="E141" s="205"/>
      <c r="F141" s="203"/>
      <c r="G141" s="204"/>
      <c r="H141" s="204"/>
      <c r="I141" s="204"/>
      <c r="J141" s="204"/>
      <c r="K141" s="204"/>
      <c r="L141" s="204"/>
      <c r="M141" s="204"/>
      <c r="N141" s="205"/>
    </row>
    <row r="142" spans="2:14">
      <c r="B142" s="203"/>
      <c r="C142" s="204"/>
      <c r="D142" s="204"/>
      <c r="E142" s="205"/>
      <c r="F142" s="203"/>
      <c r="G142" s="204"/>
      <c r="H142" s="204"/>
      <c r="I142" s="204"/>
      <c r="J142" s="204"/>
      <c r="K142" s="204"/>
      <c r="L142" s="204"/>
      <c r="M142" s="204"/>
      <c r="N142" s="205"/>
    </row>
    <row r="143" spans="2:14" ht="17.25" thickBot="1">
      <c r="B143" s="206"/>
      <c r="C143" s="207"/>
      <c r="D143" s="207"/>
      <c r="E143" s="208"/>
      <c r="F143" s="206"/>
      <c r="G143" s="207"/>
      <c r="H143" s="207"/>
      <c r="I143" s="207"/>
      <c r="J143" s="207"/>
      <c r="K143" s="207"/>
      <c r="L143" s="207"/>
      <c r="M143" s="207"/>
      <c r="N143" s="208"/>
    </row>
    <row r="144" spans="2:14" ht="18" thickTop="1" thickBot="1">
      <c r="B144" s="209"/>
      <c r="C144" s="210"/>
      <c r="D144" s="210"/>
      <c r="E144" s="211"/>
      <c r="F144" s="209"/>
      <c r="G144" s="210"/>
      <c r="H144" s="210"/>
      <c r="I144" s="210"/>
      <c r="J144" s="210"/>
      <c r="K144" s="210"/>
      <c r="L144" s="210"/>
      <c r="M144" s="210"/>
      <c r="N144" s="211"/>
    </row>
    <row r="145" ht="17.25" thickTop="1"/>
  </sheetData>
  <mergeCells count="24">
    <mergeCell ref="B10:E33"/>
    <mergeCell ref="B34:E34"/>
    <mergeCell ref="F10:N33"/>
    <mergeCell ref="F34:N34"/>
    <mergeCell ref="B35:E55"/>
    <mergeCell ref="F35:N55"/>
    <mergeCell ref="B56:E56"/>
    <mergeCell ref="F56:N56"/>
    <mergeCell ref="B57:E77"/>
    <mergeCell ref="F57:N77"/>
    <mergeCell ref="B78:E78"/>
    <mergeCell ref="F78:N78"/>
    <mergeCell ref="B79:E99"/>
    <mergeCell ref="F79:N99"/>
    <mergeCell ref="B100:E100"/>
    <mergeCell ref="F100:N100"/>
    <mergeCell ref="B144:E144"/>
    <mergeCell ref="F144:N144"/>
    <mergeCell ref="B101:E121"/>
    <mergeCell ref="F101:N121"/>
    <mergeCell ref="B122:E122"/>
    <mergeCell ref="F122:N122"/>
    <mergeCell ref="B123:E143"/>
    <mergeCell ref="F123:N143"/>
  </mergeCells>
  <phoneticPr fontId="1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view="pageBreakPreview" zoomScale="85" zoomScaleNormal="70" zoomScaleSheetLayoutView="85" workbookViewId="0">
      <selection activeCell="C12" sqref="C12:F12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12" t="s">
        <v>69</v>
      </c>
      <c r="C1" s="213"/>
      <c r="D1" s="213"/>
      <c r="E1" s="213"/>
      <c r="F1" s="213"/>
      <c r="G1" s="69"/>
    </row>
    <row r="2" spans="1:7" ht="21" customHeight="1">
      <c r="B2" s="213"/>
      <c r="C2" s="213"/>
      <c r="D2" s="213"/>
      <c r="E2" s="213"/>
      <c r="F2" s="213"/>
      <c r="G2" s="69"/>
    </row>
    <row r="3" spans="1:7" ht="9.6" customHeight="1" thickBot="1">
      <c r="A3" s="214"/>
      <c r="B3" s="214"/>
      <c r="C3" s="214"/>
      <c r="D3" s="214"/>
      <c r="E3" s="214"/>
      <c r="F3" s="214"/>
      <c r="G3" s="69"/>
    </row>
    <row r="4" spans="1:7" ht="34.9" customHeight="1">
      <c r="A4" s="70"/>
      <c r="B4" s="71" t="s">
        <v>70</v>
      </c>
      <c r="C4" s="72" t="s">
        <v>64</v>
      </c>
      <c r="D4" s="73" t="s">
        <v>71</v>
      </c>
      <c r="E4" s="215" t="str">
        <f>갑지!A8</f>
        <v xml:space="preserve"> 견적일 : 2026년  08월 04일</v>
      </c>
      <c r="F4" s="216"/>
    </row>
    <row r="5" spans="1:7" ht="34.9" customHeight="1">
      <c r="A5" s="74"/>
      <c r="B5" s="75" t="s">
        <v>72</v>
      </c>
      <c r="C5" s="217" t="str">
        <f>갑지!A6</f>
        <v xml:space="preserve"> 공사명 : 엘지 사택 음식물처리기용 급수배관 교체공사</v>
      </c>
      <c r="D5" s="218"/>
      <c r="E5" s="218"/>
      <c r="F5" s="219"/>
      <c r="G5" s="76"/>
    </row>
    <row r="6" spans="1:7" ht="23.45" customHeight="1">
      <c r="A6" s="74"/>
      <c r="B6" s="220" t="s">
        <v>73</v>
      </c>
      <c r="C6" s="223" t="s">
        <v>74</v>
      </c>
      <c r="D6" s="224"/>
      <c r="E6" s="224"/>
      <c r="F6" s="225"/>
      <c r="G6" s="69"/>
    </row>
    <row r="7" spans="1:7" ht="23.45" customHeight="1">
      <c r="A7" s="74"/>
      <c r="B7" s="221"/>
      <c r="C7" s="226" t="s">
        <v>118</v>
      </c>
      <c r="D7" s="227"/>
      <c r="E7" s="227"/>
      <c r="F7" s="228"/>
      <c r="G7" s="69"/>
    </row>
    <row r="8" spans="1:7" ht="23.45" customHeight="1">
      <c r="A8" s="74"/>
      <c r="B8" s="221"/>
      <c r="C8" s="226" t="s">
        <v>75</v>
      </c>
      <c r="D8" s="227"/>
      <c r="E8" s="227"/>
      <c r="F8" s="228"/>
      <c r="G8" s="69"/>
    </row>
    <row r="9" spans="1:7" ht="23.45" customHeight="1">
      <c r="A9" s="74"/>
      <c r="B9" s="221"/>
      <c r="C9" s="229" t="s">
        <v>212</v>
      </c>
      <c r="D9" s="230"/>
      <c r="E9" s="230"/>
      <c r="F9" s="231"/>
      <c r="G9" s="69"/>
    </row>
    <row r="10" spans="1:7" ht="23.45" customHeight="1">
      <c r="A10" s="74"/>
      <c r="B10" s="221"/>
      <c r="C10" s="229" t="s">
        <v>211</v>
      </c>
      <c r="D10" s="230"/>
      <c r="E10" s="230"/>
      <c r="F10" s="231"/>
      <c r="G10" s="69"/>
    </row>
    <row r="11" spans="1:7" ht="23.45" customHeight="1">
      <c r="A11" s="74"/>
      <c r="B11" s="221"/>
      <c r="C11" s="229" t="s">
        <v>213</v>
      </c>
      <c r="D11" s="230"/>
      <c r="E11" s="230"/>
      <c r="F11" s="231"/>
      <c r="G11" s="69"/>
    </row>
    <row r="12" spans="1:7" ht="23.45" customHeight="1">
      <c r="A12" s="74"/>
      <c r="B12" s="221"/>
      <c r="C12" s="229" t="s">
        <v>214</v>
      </c>
      <c r="D12" s="230"/>
      <c r="E12" s="230"/>
      <c r="F12" s="231"/>
      <c r="G12" s="69"/>
    </row>
    <row r="13" spans="1:7" ht="23.45" customHeight="1">
      <c r="A13" s="74"/>
      <c r="B13" s="221"/>
      <c r="C13" s="229" t="s">
        <v>141</v>
      </c>
      <c r="D13" s="230"/>
      <c r="E13" s="230"/>
      <c r="F13" s="231"/>
      <c r="G13" s="69"/>
    </row>
    <row r="14" spans="1:7" ht="23.45" customHeight="1">
      <c r="A14" s="74"/>
      <c r="B14" s="221"/>
      <c r="C14" s="229" t="s">
        <v>139</v>
      </c>
      <c r="D14" s="230"/>
      <c r="E14" s="230"/>
      <c r="F14" s="231"/>
      <c r="G14" s="69"/>
    </row>
    <row r="15" spans="1:7" ht="23.45" customHeight="1">
      <c r="A15" s="74"/>
      <c r="B15" s="221"/>
      <c r="C15" s="229"/>
      <c r="D15" s="230"/>
      <c r="E15" s="230"/>
      <c r="F15" s="231"/>
      <c r="G15" s="69"/>
    </row>
    <row r="16" spans="1:7" ht="23.45" customHeight="1">
      <c r="A16" s="74"/>
      <c r="B16" s="221"/>
      <c r="C16" s="229"/>
      <c r="D16" s="230"/>
      <c r="E16" s="230"/>
      <c r="F16" s="231"/>
    </row>
    <row r="17" spans="1:6" ht="23.45" customHeight="1">
      <c r="A17" s="74"/>
      <c r="B17" s="221"/>
      <c r="C17" s="229"/>
      <c r="D17" s="230"/>
      <c r="E17" s="230"/>
      <c r="F17" s="231"/>
    </row>
    <row r="18" spans="1:6" ht="23.45" customHeight="1">
      <c r="A18" s="74"/>
      <c r="B18" s="221"/>
      <c r="C18" s="232" t="s">
        <v>108</v>
      </c>
      <c r="D18" s="233"/>
      <c r="E18" s="233"/>
      <c r="F18" s="234"/>
    </row>
    <row r="19" spans="1:6" ht="23.45" customHeight="1">
      <c r="A19" s="74"/>
      <c r="B19" s="221"/>
      <c r="C19" s="232" t="s">
        <v>76</v>
      </c>
      <c r="D19" s="233"/>
      <c r="E19" s="233"/>
      <c r="F19" s="234"/>
    </row>
    <row r="20" spans="1:6" ht="23.45" customHeight="1">
      <c r="A20" s="74"/>
      <c r="B20" s="221"/>
      <c r="C20" s="229" t="s">
        <v>109</v>
      </c>
      <c r="D20" s="230"/>
      <c r="E20" s="230"/>
      <c r="F20" s="231"/>
    </row>
    <row r="21" spans="1:6" ht="23.45" customHeight="1">
      <c r="A21" s="74"/>
      <c r="B21" s="221"/>
      <c r="C21" s="229" t="s">
        <v>110</v>
      </c>
      <c r="D21" s="230"/>
      <c r="E21" s="230"/>
      <c r="F21" s="231"/>
    </row>
    <row r="22" spans="1:6" ht="23.45" customHeight="1">
      <c r="A22" s="74"/>
      <c r="B22" s="221"/>
      <c r="C22" s="237" t="s">
        <v>111</v>
      </c>
      <c r="D22" s="238"/>
      <c r="E22" s="238"/>
      <c r="F22" s="239"/>
    </row>
    <row r="23" spans="1:6" ht="23.45" customHeight="1">
      <c r="A23" s="74"/>
      <c r="B23" s="221"/>
      <c r="C23" s="229" t="s">
        <v>112</v>
      </c>
      <c r="D23" s="230"/>
      <c r="E23" s="230"/>
      <c r="F23" s="231"/>
    </row>
    <row r="24" spans="1:6" ht="23.45" customHeight="1">
      <c r="A24" s="74"/>
      <c r="B24" s="221"/>
      <c r="C24" s="229" t="s">
        <v>113</v>
      </c>
      <c r="D24" s="230"/>
      <c r="E24" s="230"/>
      <c r="F24" s="231"/>
    </row>
    <row r="25" spans="1:6" ht="23.45" customHeight="1">
      <c r="A25" s="74"/>
      <c r="B25" s="221"/>
      <c r="C25" s="229" t="s">
        <v>114</v>
      </c>
      <c r="D25" s="230"/>
      <c r="E25" s="230"/>
      <c r="F25" s="231"/>
    </row>
    <row r="26" spans="1:6" ht="23.45" customHeight="1">
      <c r="A26" s="74"/>
      <c r="B26" s="221"/>
      <c r="C26" s="229" t="s">
        <v>115</v>
      </c>
      <c r="D26" s="230"/>
      <c r="E26" s="230"/>
      <c r="F26" s="231"/>
    </row>
    <row r="27" spans="1:6" ht="23.45" customHeight="1">
      <c r="A27" s="74"/>
      <c r="B27" s="221"/>
      <c r="C27" s="229" t="s">
        <v>116</v>
      </c>
      <c r="D27" s="230"/>
      <c r="E27" s="230"/>
      <c r="F27" s="231"/>
    </row>
    <row r="28" spans="1:6" ht="23.45" customHeight="1">
      <c r="A28" s="74"/>
      <c r="B28" s="221"/>
      <c r="C28" s="245" t="s">
        <v>117</v>
      </c>
      <c r="D28" s="246"/>
      <c r="E28" s="246"/>
      <c r="F28" s="247"/>
    </row>
    <row r="29" spans="1:6" ht="23.45" customHeight="1">
      <c r="A29" s="74"/>
      <c r="B29" s="221"/>
      <c r="C29" s="232" t="s">
        <v>99</v>
      </c>
      <c r="D29" s="240"/>
      <c r="E29" s="240"/>
      <c r="F29" s="241"/>
    </row>
    <row r="30" spans="1:6" ht="23.45" customHeight="1">
      <c r="A30" s="74"/>
      <c r="B30" s="221"/>
      <c r="C30" s="232"/>
      <c r="D30" s="240"/>
      <c r="E30" s="240"/>
      <c r="F30" s="241"/>
    </row>
    <row r="31" spans="1:6" ht="23.45" customHeight="1">
      <c r="A31" s="74"/>
      <c r="B31" s="221"/>
      <c r="C31" s="232"/>
      <c r="D31" s="240"/>
      <c r="E31" s="240"/>
      <c r="F31" s="241"/>
    </row>
    <row r="32" spans="1:6" ht="23.45" customHeight="1">
      <c r="A32" s="74"/>
      <c r="B32" s="222"/>
      <c r="C32" s="242"/>
      <c r="D32" s="243"/>
      <c r="E32" s="243"/>
      <c r="F32" s="244"/>
    </row>
    <row r="33" spans="1:6" ht="50.45" customHeight="1">
      <c r="A33" s="74"/>
      <c r="B33" s="75" t="s">
        <v>77</v>
      </c>
      <c r="C33" s="77" t="s">
        <v>78</v>
      </c>
      <c r="D33" s="235" t="s">
        <v>79</v>
      </c>
      <c r="E33" s="235"/>
      <c r="F33" s="236"/>
    </row>
    <row r="34" spans="1:6" ht="50.45" customHeight="1">
      <c r="A34" s="74"/>
      <c r="B34" s="75" t="s">
        <v>83</v>
      </c>
      <c r="C34" s="77" t="s">
        <v>80</v>
      </c>
      <c r="D34" s="235" t="s">
        <v>81</v>
      </c>
      <c r="E34" s="235"/>
      <c r="F34" s="236"/>
    </row>
    <row r="35" spans="1:6" ht="25.15" customHeight="1">
      <c r="B35" s="78"/>
      <c r="C35" s="78"/>
      <c r="D35" s="79"/>
      <c r="E35" s="78"/>
      <c r="F35" s="69"/>
    </row>
    <row r="36" spans="1:6" ht="25.15" customHeight="1">
      <c r="B36" s="78"/>
      <c r="C36" s="78"/>
      <c r="D36" s="79"/>
      <c r="E36" s="78"/>
      <c r="F36" s="69"/>
    </row>
    <row r="37" spans="1:6" ht="25.15" customHeight="1">
      <c r="B37" s="78"/>
      <c r="C37" s="78"/>
      <c r="D37" s="79"/>
      <c r="E37" s="78"/>
      <c r="F37" s="69"/>
    </row>
    <row r="38" spans="1:6" ht="25.15" customHeight="1">
      <c r="B38" s="78"/>
      <c r="C38" s="78"/>
      <c r="D38" s="79"/>
      <c r="E38" s="78"/>
      <c r="F38" s="69"/>
    </row>
    <row r="39" spans="1:6" ht="25.15" customHeight="1">
      <c r="B39" s="78"/>
      <c r="C39" s="78"/>
      <c r="D39" s="79"/>
      <c r="E39" s="78"/>
      <c r="F39" s="69"/>
    </row>
    <row r="40" spans="1:6" ht="25.15" customHeight="1">
      <c r="B40" s="78"/>
      <c r="C40" s="78"/>
      <c r="D40" s="79"/>
      <c r="E40" s="78"/>
      <c r="F40" s="69"/>
    </row>
    <row r="41" spans="1:6" ht="25.15" customHeight="1">
      <c r="B41" s="78"/>
      <c r="C41" s="78"/>
      <c r="D41" s="79"/>
      <c r="E41" s="78"/>
      <c r="F41" s="69"/>
    </row>
    <row r="42" spans="1:6" ht="25.15" customHeight="1">
      <c r="B42" s="78"/>
      <c r="C42" s="78"/>
      <c r="D42" s="79"/>
      <c r="E42" s="78"/>
      <c r="F42" s="69"/>
    </row>
    <row r="43" spans="1:6" ht="25.15" customHeight="1">
      <c r="B43" s="78"/>
      <c r="C43" s="78"/>
      <c r="D43" s="79"/>
      <c r="E43" s="78"/>
      <c r="F43" s="69"/>
    </row>
    <row r="44" spans="1:6" ht="25.15" customHeight="1">
      <c r="B44" s="78"/>
      <c r="C44" s="78"/>
      <c r="D44" s="79"/>
      <c r="E44" s="78"/>
      <c r="F44" s="69"/>
    </row>
    <row r="45" spans="1:6" ht="25.15" customHeight="1">
      <c r="B45" s="78"/>
      <c r="C45" s="78"/>
      <c r="D45" s="79"/>
      <c r="E45" s="78"/>
      <c r="F45" s="69"/>
    </row>
    <row r="46" spans="1:6" ht="25.15" customHeight="1">
      <c r="B46" s="78"/>
      <c r="C46" s="78"/>
      <c r="D46" s="79"/>
      <c r="E46" s="78"/>
      <c r="F46" s="69"/>
    </row>
    <row r="47" spans="1:6" ht="25.15" customHeight="1">
      <c r="B47" s="78"/>
      <c r="C47" s="78"/>
      <c r="D47" s="79"/>
      <c r="E47" s="78"/>
      <c r="F47" s="69"/>
    </row>
    <row r="48" spans="1:6" ht="25.15" customHeight="1">
      <c r="B48" s="78"/>
      <c r="C48" s="78"/>
      <c r="D48" s="79"/>
      <c r="E48" s="78"/>
      <c r="F48" s="69"/>
    </row>
    <row r="49" spans="2:6" ht="25.15" customHeight="1">
      <c r="B49" s="78"/>
      <c r="C49" s="78"/>
      <c r="D49" s="79"/>
      <c r="E49" s="78"/>
      <c r="F49" s="69"/>
    </row>
    <row r="50" spans="2:6" ht="25.15" customHeight="1">
      <c r="B50" s="78"/>
      <c r="C50" s="78"/>
      <c r="D50" s="79"/>
      <c r="E50" s="78"/>
      <c r="F50" s="69"/>
    </row>
    <row r="51" spans="2:6" ht="25.15" customHeight="1">
      <c r="B51" s="78"/>
      <c r="C51" s="78"/>
      <c r="D51" s="79"/>
      <c r="E51" s="78"/>
      <c r="F51" s="69"/>
    </row>
  </sheetData>
  <mergeCells count="34">
    <mergeCell ref="C10:F10"/>
    <mergeCell ref="C11:F11"/>
    <mergeCell ref="C12:F12"/>
    <mergeCell ref="C13:F13"/>
    <mergeCell ref="D34:F34"/>
    <mergeCell ref="C21:F21"/>
    <mergeCell ref="C22:F22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D33:F33"/>
    <mergeCell ref="B1:F2"/>
    <mergeCell ref="A3:F3"/>
    <mergeCell ref="E4:F4"/>
    <mergeCell ref="C5:F5"/>
    <mergeCell ref="B6:B32"/>
    <mergeCell ref="C6:F6"/>
    <mergeCell ref="C7:F7"/>
    <mergeCell ref="C8:F8"/>
    <mergeCell ref="C20:F20"/>
    <mergeCell ref="C16:F16"/>
    <mergeCell ref="C17:F17"/>
    <mergeCell ref="C19:F19"/>
    <mergeCell ref="C18:F18"/>
    <mergeCell ref="C9:F9"/>
    <mergeCell ref="C14:F14"/>
    <mergeCell ref="C15:F15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0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1.25"/>
  <cols>
    <col min="1" max="1" width="41.625" style="112" bestFit="1" customWidth="1"/>
    <col min="2" max="2" width="57.875" style="113" bestFit="1" customWidth="1"/>
    <col min="3" max="3" width="8.5" style="112" customWidth="1"/>
    <col min="4" max="4" width="8.5" style="146" customWidth="1"/>
    <col min="5" max="5" width="52.375" style="114" customWidth="1"/>
    <col min="6" max="6" width="15.375" style="112" customWidth="1"/>
    <col min="7" max="7" width="13.75" style="112" customWidth="1"/>
    <col min="8" max="256" width="9" style="112"/>
    <col min="257" max="257" width="35.625" style="112" customWidth="1"/>
    <col min="258" max="258" width="17.5" style="112" customWidth="1"/>
    <col min="259" max="260" width="8.5" style="112" customWidth="1"/>
    <col min="261" max="261" width="119.75" style="112" bestFit="1" customWidth="1"/>
    <col min="262" max="262" width="15.375" style="112" customWidth="1"/>
    <col min="263" max="263" width="13.75" style="112" customWidth="1"/>
    <col min="264" max="512" width="9" style="112"/>
    <col min="513" max="513" width="35.625" style="112" customWidth="1"/>
    <col min="514" max="514" width="17.5" style="112" customWidth="1"/>
    <col min="515" max="516" width="8.5" style="112" customWidth="1"/>
    <col min="517" max="517" width="119.75" style="112" bestFit="1" customWidth="1"/>
    <col min="518" max="518" width="15.375" style="112" customWidth="1"/>
    <col min="519" max="519" width="13.75" style="112" customWidth="1"/>
    <col min="520" max="768" width="9" style="112"/>
    <col min="769" max="769" width="35.625" style="112" customWidth="1"/>
    <col min="770" max="770" width="17.5" style="112" customWidth="1"/>
    <col min="771" max="772" width="8.5" style="112" customWidth="1"/>
    <col min="773" max="773" width="119.75" style="112" bestFit="1" customWidth="1"/>
    <col min="774" max="774" width="15.375" style="112" customWidth="1"/>
    <col min="775" max="775" width="13.75" style="112" customWidth="1"/>
    <col min="776" max="1024" width="9" style="112"/>
    <col min="1025" max="1025" width="35.625" style="112" customWidth="1"/>
    <col min="1026" max="1026" width="17.5" style="112" customWidth="1"/>
    <col min="1027" max="1028" width="8.5" style="112" customWidth="1"/>
    <col min="1029" max="1029" width="119.75" style="112" bestFit="1" customWidth="1"/>
    <col min="1030" max="1030" width="15.375" style="112" customWidth="1"/>
    <col min="1031" max="1031" width="13.75" style="112" customWidth="1"/>
    <col min="1032" max="1280" width="9" style="112"/>
    <col min="1281" max="1281" width="35.625" style="112" customWidth="1"/>
    <col min="1282" max="1282" width="17.5" style="112" customWidth="1"/>
    <col min="1283" max="1284" width="8.5" style="112" customWidth="1"/>
    <col min="1285" max="1285" width="119.75" style="112" bestFit="1" customWidth="1"/>
    <col min="1286" max="1286" width="15.375" style="112" customWidth="1"/>
    <col min="1287" max="1287" width="13.75" style="112" customWidth="1"/>
    <col min="1288" max="1536" width="9" style="112"/>
    <col min="1537" max="1537" width="35.625" style="112" customWidth="1"/>
    <col min="1538" max="1538" width="17.5" style="112" customWidth="1"/>
    <col min="1539" max="1540" width="8.5" style="112" customWidth="1"/>
    <col min="1541" max="1541" width="119.75" style="112" bestFit="1" customWidth="1"/>
    <col min="1542" max="1542" width="15.375" style="112" customWidth="1"/>
    <col min="1543" max="1543" width="13.75" style="112" customWidth="1"/>
    <col min="1544" max="1792" width="9" style="112"/>
    <col min="1793" max="1793" width="35.625" style="112" customWidth="1"/>
    <col min="1794" max="1794" width="17.5" style="112" customWidth="1"/>
    <col min="1795" max="1796" width="8.5" style="112" customWidth="1"/>
    <col min="1797" max="1797" width="119.75" style="112" bestFit="1" customWidth="1"/>
    <col min="1798" max="1798" width="15.375" style="112" customWidth="1"/>
    <col min="1799" max="1799" width="13.75" style="112" customWidth="1"/>
    <col min="1800" max="2048" width="9" style="112"/>
    <col min="2049" max="2049" width="35.625" style="112" customWidth="1"/>
    <col min="2050" max="2050" width="17.5" style="112" customWidth="1"/>
    <col min="2051" max="2052" width="8.5" style="112" customWidth="1"/>
    <col min="2053" max="2053" width="119.75" style="112" bestFit="1" customWidth="1"/>
    <col min="2054" max="2054" width="15.375" style="112" customWidth="1"/>
    <col min="2055" max="2055" width="13.75" style="112" customWidth="1"/>
    <col min="2056" max="2304" width="9" style="112"/>
    <col min="2305" max="2305" width="35.625" style="112" customWidth="1"/>
    <col min="2306" max="2306" width="17.5" style="112" customWidth="1"/>
    <col min="2307" max="2308" width="8.5" style="112" customWidth="1"/>
    <col min="2309" max="2309" width="119.75" style="112" bestFit="1" customWidth="1"/>
    <col min="2310" max="2310" width="15.375" style="112" customWidth="1"/>
    <col min="2311" max="2311" width="13.75" style="112" customWidth="1"/>
    <col min="2312" max="2560" width="9" style="112"/>
    <col min="2561" max="2561" width="35.625" style="112" customWidth="1"/>
    <col min="2562" max="2562" width="17.5" style="112" customWidth="1"/>
    <col min="2563" max="2564" width="8.5" style="112" customWidth="1"/>
    <col min="2565" max="2565" width="119.75" style="112" bestFit="1" customWidth="1"/>
    <col min="2566" max="2566" width="15.375" style="112" customWidth="1"/>
    <col min="2567" max="2567" width="13.75" style="112" customWidth="1"/>
    <col min="2568" max="2816" width="9" style="112"/>
    <col min="2817" max="2817" width="35.625" style="112" customWidth="1"/>
    <col min="2818" max="2818" width="17.5" style="112" customWidth="1"/>
    <col min="2819" max="2820" width="8.5" style="112" customWidth="1"/>
    <col min="2821" max="2821" width="119.75" style="112" bestFit="1" customWidth="1"/>
    <col min="2822" max="2822" width="15.375" style="112" customWidth="1"/>
    <col min="2823" max="2823" width="13.75" style="112" customWidth="1"/>
    <col min="2824" max="3072" width="9" style="112"/>
    <col min="3073" max="3073" width="35.625" style="112" customWidth="1"/>
    <col min="3074" max="3074" width="17.5" style="112" customWidth="1"/>
    <col min="3075" max="3076" width="8.5" style="112" customWidth="1"/>
    <col min="3077" max="3077" width="119.75" style="112" bestFit="1" customWidth="1"/>
    <col min="3078" max="3078" width="15.375" style="112" customWidth="1"/>
    <col min="3079" max="3079" width="13.75" style="112" customWidth="1"/>
    <col min="3080" max="3328" width="9" style="112"/>
    <col min="3329" max="3329" width="35.625" style="112" customWidth="1"/>
    <col min="3330" max="3330" width="17.5" style="112" customWidth="1"/>
    <col min="3331" max="3332" width="8.5" style="112" customWidth="1"/>
    <col min="3333" max="3333" width="119.75" style="112" bestFit="1" customWidth="1"/>
    <col min="3334" max="3334" width="15.375" style="112" customWidth="1"/>
    <col min="3335" max="3335" width="13.75" style="112" customWidth="1"/>
    <col min="3336" max="3584" width="9" style="112"/>
    <col min="3585" max="3585" width="35.625" style="112" customWidth="1"/>
    <col min="3586" max="3586" width="17.5" style="112" customWidth="1"/>
    <col min="3587" max="3588" width="8.5" style="112" customWidth="1"/>
    <col min="3589" max="3589" width="119.75" style="112" bestFit="1" customWidth="1"/>
    <col min="3590" max="3590" width="15.375" style="112" customWidth="1"/>
    <col min="3591" max="3591" width="13.75" style="112" customWidth="1"/>
    <col min="3592" max="3840" width="9" style="112"/>
    <col min="3841" max="3841" width="35.625" style="112" customWidth="1"/>
    <col min="3842" max="3842" width="17.5" style="112" customWidth="1"/>
    <col min="3843" max="3844" width="8.5" style="112" customWidth="1"/>
    <col min="3845" max="3845" width="119.75" style="112" bestFit="1" customWidth="1"/>
    <col min="3846" max="3846" width="15.375" style="112" customWidth="1"/>
    <col min="3847" max="3847" width="13.75" style="112" customWidth="1"/>
    <col min="3848" max="4096" width="9" style="112"/>
    <col min="4097" max="4097" width="35.625" style="112" customWidth="1"/>
    <col min="4098" max="4098" width="17.5" style="112" customWidth="1"/>
    <col min="4099" max="4100" width="8.5" style="112" customWidth="1"/>
    <col min="4101" max="4101" width="119.75" style="112" bestFit="1" customWidth="1"/>
    <col min="4102" max="4102" width="15.375" style="112" customWidth="1"/>
    <col min="4103" max="4103" width="13.75" style="112" customWidth="1"/>
    <col min="4104" max="4352" width="9" style="112"/>
    <col min="4353" max="4353" width="35.625" style="112" customWidth="1"/>
    <col min="4354" max="4354" width="17.5" style="112" customWidth="1"/>
    <col min="4355" max="4356" width="8.5" style="112" customWidth="1"/>
    <col min="4357" max="4357" width="119.75" style="112" bestFit="1" customWidth="1"/>
    <col min="4358" max="4358" width="15.375" style="112" customWidth="1"/>
    <col min="4359" max="4359" width="13.75" style="112" customWidth="1"/>
    <col min="4360" max="4608" width="9" style="112"/>
    <col min="4609" max="4609" width="35.625" style="112" customWidth="1"/>
    <col min="4610" max="4610" width="17.5" style="112" customWidth="1"/>
    <col min="4611" max="4612" width="8.5" style="112" customWidth="1"/>
    <col min="4613" max="4613" width="119.75" style="112" bestFit="1" customWidth="1"/>
    <col min="4614" max="4614" width="15.375" style="112" customWidth="1"/>
    <col min="4615" max="4615" width="13.75" style="112" customWidth="1"/>
    <col min="4616" max="4864" width="9" style="112"/>
    <col min="4865" max="4865" width="35.625" style="112" customWidth="1"/>
    <col min="4866" max="4866" width="17.5" style="112" customWidth="1"/>
    <col min="4867" max="4868" width="8.5" style="112" customWidth="1"/>
    <col min="4869" max="4869" width="119.75" style="112" bestFit="1" customWidth="1"/>
    <col min="4870" max="4870" width="15.375" style="112" customWidth="1"/>
    <col min="4871" max="4871" width="13.75" style="112" customWidth="1"/>
    <col min="4872" max="5120" width="9" style="112"/>
    <col min="5121" max="5121" width="35.625" style="112" customWidth="1"/>
    <col min="5122" max="5122" width="17.5" style="112" customWidth="1"/>
    <col min="5123" max="5124" width="8.5" style="112" customWidth="1"/>
    <col min="5125" max="5125" width="119.75" style="112" bestFit="1" customWidth="1"/>
    <col min="5126" max="5126" width="15.375" style="112" customWidth="1"/>
    <col min="5127" max="5127" width="13.75" style="112" customWidth="1"/>
    <col min="5128" max="5376" width="9" style="112"/>
    <col min="5377" max="5377" width="35.625" style="112" customWidth="1"/>
    <col min="5378" max="5378" width="17.5" style="112" customWidth="1"/>
    <col min="5379" max="5380" width="8.5" style="112" customWidth="1"/>
    <col min="5381" max="5381" width="119.75" style="112" bestFit="1" customWidth="1"/>
    <col min="5382" max="5382" width="15.375" style="112" customWidth="1"/>
    <col min="5383" max="5383" width="13.75" style="112" customWidth="1"/>
    <col min="5384" max="5632" width="9" style="112"/>
    <col min="5633" max="5633" width="35.625" style="112" customWidth="1"/>
    <col min="5634" max="5634" width="17.5" style="112" customWidth="1"/>
    <col min="5635" max="5636" width="8.5" style="112" customWidth="1"/>
    <col min="5637" max="5637" width="119.75" style="112" bestFit="1" customWidth="1"/>
    <col min="5638" max="5638" width="15.375" style="112" customWidth="1"/>
    <col min="5639" max="5639" width="13.75" style="112" customWidth="1"/>
    <col min="5640" max="5888" width="9" style="112"/>
    <col min="5889" max="5889" width="35.625" style="112" customWidth="1"/>
    <col min="5890" max="5890" width="17.5" style="112" customWidth="1"/>
    <col min="5891" max="5892" width="8.5" style="112" customWidth="1"/>
    <col min="5893" max="5893" width="119.75" style="112" bestFit="1" customWidth="1"/>
    <col min="5894" max="5894" width="15.375" style="112" customWidth="1"/>
    <col min="5895" max="5895" width="13.75" style="112" customWidth="1"/>
    <col min="5896" max="6144" width="9" style="112"/>
    <col min="6145" max="6145" width="35.625" style="112" customWidth="1"/>
    <col min="6146" max="6146" width="17.5" style="112" customWidth="1"/>
    <col min="6147" max="6148" width="8.5" style="112" customWidth="1"/>
    <col min="6149" max="6149" width="119.75" style="112" bestFit="1" customWidth="1"/>
    <col min="6150" max="6150" width="15.375" style="112" customWidth="1"/>
    <col min="6151" max="6151" width="13.75" style="112" customWidth="1"/>
    <col min="6152" max="6400" width="9" style="112"/>
    <col min="6401" max="6401" width="35.625" style="112" customWidth="1"/>
    <col min="6402" max="6402" width="17.5" style="112" customWidth="1"/>
    <col min="6403" max="6404" width="8.5" style="112" customWidth="1"/>
    <col min="6405" max="6405" width="119.75" style="112" bestFit="1" customWidth="1"/>
    <col min="6406" max="6406" width="15.375" style="112" customWidth="1"/>
    <col min="6407" max="6407" width="13.75" style="112" customWidth="1"/>
    <col min="6408" max="6656" width="9" style="112"/>
    <col min="6657" max="6657" width="35.625" style="112" customWidth="1"/>
    <col min="6658" max="6658" width="17.5" style="112" customWidth="1"/>
    <col min="6659" max="6660" width="8.5" style="112" customWidth="1"/>
    <col min="6661" max="6661" width="119.75" style="112" bestFit="1" customWidth="1"/>
    <col min="6662" max="6662" width="15.375" style="112" customWidth="1"/>
    <col min="6663" max="6663" width="13.75" style="112" customWidth="1"/>
    <col min="6664" max="6912" width="9" style="112"/>
    <col min="6913" max="6913" width="35.625" style="112" customWidth="1"/>
    <col min="6914" max="6914" width="17.5" style="112" customWidth="1"/>
    <col min="6915" max="6916" width="8.5" style="112" customWidth="1"/>
    <col min="6917" max="6917" width="119.75" style="112" bestFit="1" customWidth="1"/>
    <col min="6918" max="6918" width="15.375" style="112" customWidth="1"/>
    <col min="6919" max="6919" width="13.75" style="112" customWidth="1"/>
    <col min="6920" max="7168" width="9" style="112"/>
    <col min="7169" max="7169" width="35.625" style="112" customWidth="1"/>
    <col min="7170" max="7170" width="17.5" style="112" customWidth="1"/>
    <col min="7171" max="7172" width="8.5" style="112" customWidth="1"/>
    <col min="7173" max="7173" width="119.75" style="112" bestFit="1" customWidth="1"/>
    <col min="7174" max="7174" width="15.375" style="112" customWidth="1"/>
    <col min="7175" max="7175" width="13.75" style="112" customWidth="1"/>
    <col min="7176" max="7424" width="9" style="112"/>
    <col min="7425" max="7425" width="35.625" style="112" customWidth="1"/>
    <col min="7426" max="7426" width="17.5" style="112" customWidth="1"/>
    <col min="7427" max="7428" width="8.5" style="112" customWidth="1"/>
    <col min="7429" max="7429" width="119.75" style="112" bestFit="1" customWidth="1"/>
    <col min="7430" max="7430" width="15.375" style="112" customWidth="1"/>
    <col min="7431" max="7431" width="13.75" style="112" customWidth="1"/>
    <col min="7432" max="7680" width="9" style="112"/>
    <col min="7681" max="7681" width="35.625" style="112" customWidth="1"/>
    <col min="7682" max="7682" width="17.5" style="112" customWidth="1"/>
    <col min="7683" max="7684" width="8.5" style="112" customWidth="1"/>
    <col min="7685" max="7685" width="119.75" style="112" bestFit="1" customWidth="1"/>
    <col min="7686" max="7686" width="15.375" style="112" customWidth="1"/>
    <col min="7687" max="7687" width="13.75" style="112" customWidth="1"/>
    <col min="7688" max="7936" width="9" style="112"/>
    <col min="7937" max="7937" width="35.625" style="112" customWidth="1"/>
    <col min="7938" max="7938" width="17.5" style="112" customWidth="1"/>
    <col min="7939" max="7940" width="8.5" style="112" customWidth="1"/>
    <col min="7941" max="7941" width="119.75" style="112" bestFit="1" customWidth="1"/>
    <col min="7942" max="7942" width="15.375" style="112" customWidth="1"/>
    <col min="7943" max="7943" width="13.75" style="112" customWidth="1"/>
    <col min="7944" max="8192" width="9" style="112"/>
    <col min="8193" max="8193" width="35.625" style="112" customWidth="1"/>
    <col min="8194" max="8194" width="17.5" style="112" customWidth="1"/>
    <col min="8195" max="8196" width="8.5" style="112" customWidth="1"/>
    <col min="8197" max="8197" width="119.75" style="112" bestFit="1" customWidth="1"/>
    <col min="8198" max="8198" width="15.375" style="112" customWidth="1"/>
    <col min="8199" max="8199" width="13.75" style="112" customWidth="1"/>
    <col min="8200" max="8448" width="9" style="112"/>
    <col min="8449" max="8449" width="35.625" style="112" customWidth="1"/>
    <col min="8450" max="8450" width="17.5" style="112" customWidth="1"/>
    <col min="8451" max="8452" width="8.5" style="112" customWidth="1"/>
    <col min="8453" max="8453" width="119.75" style="112" bestFit="1" customWidth="1"/>
    <col min="8454" max="8454" width="15.375" style="112" customWidth="1"/>
    <col min="8455" max="8455" width="13.75" style="112" customWidth="1"/>
    <col min="8456" max="8704" width="9" style="112"/>
    <col min="8705" max="8705" width="35.625" style="112" customWidth="1"/>
    <col min="8706" max="8706" width="17.5" style="112" customWidth="1"/>
    <col min="8707" max="8708" width="8.5" style="112" customWidth="1"/>
    <col min="8709" max="8709" width="119.75" style="112" bestFit="1" customWidth="1"/>
    <col min="8710" max="8710" width="15.375" style="112" customWidth="1"/>
    <col min="8711" max="8711" width="13.75" style="112" customWidth="1"/>
    <col min="8712" max="8960" width="9" style="112"/>
    <col min="8961" max="8961" width="35.625" style="112" customWidth="1"/>
    <col min="8962" max="8962" width="17.5" style="112" customWidth="1"/>
    <col min="8963" max="8964" width="8.5" style="112" customWidth="1"/>
    <col min="8965" max="8965" width="119.75" style="112" bestFit="1" customWidth="1"/>
    <col min="8966" max="8966" width="15.375" style="112" customWidth="1"/>
    <col min="8967" max="8967" width="13.75" style="112" customWidth="1"/>
    <col min="8968" max="9216" width="9" style="112"/>
    <col min="9217" max="9217" width="35.625" style="112" customWidth="1"/>
    <col min="9218" max="9218" width="17.5" style="112" customWidth="1"/>
    <col min="9219" max="9220" width="8.5" style="112" customWidth="1"/>
    <col min="9221" max="9221" width="119.75" style="112" bestFit="1" customWidth="1"/>
    <col min="9222" max="9222" width="15.375" style="112" customWidth="1"/>
    <col min="9223" max="9223" width="13.75" style="112" customWidth="1"/>
    <col min="9224" max="9472" width="9" style="112"/>
    <col min="9473" max="9473" width="35.625" style="112" customWidth="1"/>
    <col min="9474" max="9474" width="17.5" style="112" customWidth="1"/>
    <col min="9475" max="9476" width="8.5" style="112" customWidth="1"/>
    <col min="9477" max="9477" width="119.75" style="112" bestFit="1" customWidth="1"/>
    <col min="9478" max="9478" width="15.375" style="112" customWidth="1"/>
    <col min="9479" max="9479" width="13.75" style="112" customWidth="1"/>
    <col min="9480" max="9728" width="9" style="112"/>
    <col min="9729" max="9729" width="35.625" style="112" customWidth="1"/>
    <col min="9730" max="9730" width="17.5" style="112" customWidth="1"/>
    <col min="9731" max="9732" width="8.5" style="112" customWidth="1"/>
    <col min="9733" max="9733" width="119.75" style="112" bestFit="1" customWidth="1"/>
    <col min="9734" max="9734" width="15.375" style="112" customWidth="1"/>
    <col min="9735" max="9735" width="13.75" style="112" customWidth="1"/>
    <col min="9736" max="9984" width="9" style="112"/>
    <col min="9985" max="9985" width="35.625" style="112" customWidth="1"/>
    <col min="9986" max="9986" width="17.5" style="112" customWidth="1"/>
    <col min="9987" max="9988" width="8.5" style="112" customWidth="1"/>
    <col min="9989" max="9989" width="119.75" style="112" bestFit="1" customWidth="1"/>
    <col min="9990" max="9990" width="15.375" style="112" customWidth="1"/>
    <col min="9991" max="9991" width="13.75" style="112" customWidth="1"/>
    <col min="9992" max="10240" width="9" style="112"/>
    <col min="10241" max="10241" width="35.625" style="112" customWidth="1"/>
    <col min="10242" max="10242" width="17.5" style="112" customWidth="1"/>
    <col min="10243" max="10244" width="8.5" style="112" customWidth="1"/>
    <col min="10245" max="10245" width="119.75" style="112" bestFit="1" customWidth="1"/>
    <col min="10246" max="10246" width="15.375" style="112" customWidth="1"/>
    <col min="10247" max="10247" width="13.75" style="112" customWidth="1"/>
    <col min="10248" max="10496" width="9" style="112"/>
    <col min="10497" max="10497" width="35.625" style="112" customWidth="1"/>
    <col min="10498" max="10498" width="17.5" style="112" customWidth="1"/>
    <col min="10499" max="10500" width="8.5" style="112" customWidth="1"/>
    <col min="10501" max="10501" width="119.75" style="112" bestFit="1" customWidth="1"/>
    <col min="10502" max="10502" width="15.375" style="112" customWidth="1"/>
    <col min="10503" max="10503" width="13.75" style="112" customWidth="1"/>
    <col min="10504" max="10752" width="9" style="112"/>
    <col min="10753" max="10753" width="35.625" style="112" customWidth="1"/>
    <col min="10754" max="10754" width="17.5" style="112" customWidth="1"/>
    <col min="10755" max="10756" width="8.5" style="112" customWidth="1"/>
    <col min="10757" max="10757" width="119.75" style="112" bestFit="1" customWidth="1"/>
    <col min="10758" max="10758" width="15.375" style="112" customWidth="1"/>
    <col min="10759" max="10759" width="13.75" style="112" customWidth="1"/>
    <col min="10760" max="11008" width="9" style="112"/>
    <col min="11009" max="11009" width="35.625" style="112" customWidth="1"/>
    <col min="11010" max="11010" width="17.5" style="112" customWidth="1"/>
    <col min="11011" max="11012" width="8.5" style="112" customWidth="1"/>
    <col min="11013" max="11013" width="119.75" style="112" bestFit="1" customWidth="1"/>
    <col min="11014" max="11014" width="15.375" style="112" customWidth="1"/>
    <col min="11015" max="11015" width="13.75" style="112" customWidth="1"/>
    <col min="11016" max="11264" width="9" style="112"/>
    <col min="11265" max="11265" width="35.625" style="112" customWidth="1"/>
    <col min="11266" max="11266" width="17.5" style="112" customWidth="1"/>
    <col min="11267" max="11268" width="8.5" style="112" customWidth="1"/>
    <col min="11269" max="11269" width="119.75" style="112" bestFit="1" customWidth="1"/>
    <col min="11270" max="11270" width="15.375" style="112" customWidth="1"/>
    <col min="11271" max="11271" width="13.75" style="112" customWidth="1"/>
    <col min="11272" max="11520" width="9" style="112"/>
    <col min="11521" max="11521" width="35.625" style="112" customWidth="1"/>
    <col min="11522" max="11522" width="17.5" style="112" customWidth="1"/>
    <col min="11523" max="11524" width="8.5" style="112" customWidth="1"/>
    <col min="11525" max="11525" width="119.75" style="112" bestFit="1" customWidth="1"/>
    <col min="11526" max="11526" width="15.375" style="112" customWidth="1"/>
    <col min="11527" max="11527" width="13.75" style="112" customWidth="1"/>
    <col min="11528" max="11776" width="9" style="112"/>
    <col min="11777" max="11777" width="35.625" style="112" customWidth="1"/>
    <col min="11778" max="11778" width="17.5" style="112" customWidth="1"/>
    <col min="11779" max="11780" width="8.5" style="112" customWidth="1"/>
    <col min="11781" max="11781" width="119.75" style="112" bestFit="1" customWidth="1"/>
    <col min="11782" max="11782" width="15.375" style="112" customWidth="1"/>
    <col min="11783" max="11783" width="13.75" style="112" customWidth="1"/>
    <col min="11784" max="12032" width="9" style="112"/>
    <col min="12033" max="12033" width="35.625" style="112" customWidth="1"/>
    <col min="12034" max="12034" width="17.5" style="112" customWidth="1"/>
    <col min="12035" max="12036" width="8.5" style="112" customWidth="1"/>
    <col min="12037" max="12037" width="119.75" style="112" bestFit="1" customWidth="1"/>
    <col min="12038" max="12038" width="15.375" style="112" customWidth="1"/>
    <col min="12039" max="12039" width="13.75" style="112" customWidth="1"/>
    <col min="12040" max="12288" width="9" style="112"/>
    <col min="12289" max="12289" width="35.625" style="112" customWidth="1"/>
    <col min="12290" max="12290" width="17.5" style="112" customWidth="1"/>
    <col min="12291" max="12292" width="8.5" style="112" customWidth="1"/>
    <col min="12293" max="12293" width="119.75" style="112" bestFit="1" customWidth="1"/>
    <col min="12294" max="12294" width="15.375" style="112" customWidth="1"/>
    <col min="12295" max="12295" width="13.75" style="112" customWidth="1"/>
    <col min="12296" max="12544" width="9" style="112"/>
    <col min="12545" max="12545" width="35.625" style="112" customWidth="1"/>
    <col min="12546" max="12546" width="17.5" style="112" customWidth="1"/>
    <col min="12547" max="12548" width="8.5" style="112" customWidth="1"/>
    <col min="12549" max="12549" width="119.75" style="112" bestFit="1" customWidth="1"/>
    <col min="12550" max="12550" width="15.375" style="112" customWidth="1"/>
    <col min="12551" max="12551" width="13.75" style="112" customWidth="1"/>
    <col min="12552" max="12800" width="9" style="112"/>
    <col min="12801" max="12801" width="35.625" style="112" customWidth="1"/>
    <col min="12802" max="12802" width="17.5" style="112" customWidth="1"/>
    <col min="12803" max="12804" width="8.5" style="112" customWidth="1"/>
    <col min="12805" max="12805" width="119.75" style="112" bestFit="1" customWidth="1"/>
    <col min="12806" max="12806" width="15.375" style="112" customWidth="1"/>
    <col min="12807" max="12807" width="13.75" style="112" customWidth="1"/>
    <col min="12808" max="13056" width="9" style="112"/>
    <col min="13057" max="13057" width="35.625" style="112" customWidth="1"/>
    <col min="13058" max="13058" width="17.5" style="112" customWidth="1"/>
    <col min="13059" max="13060" width="8.5" style="112" customWidth="1"/>
    <col min="13061" max="13061" width="119.75" style="112" bestFit="1" customWidth="1"/>
    <col min="13062" max="13062" width="15.375" style="112" customWidth="1"/>
    <col min="13063" max="13063" width="13.75" style="112" customWidth="1"/>
    <col min="13064" max="13312" width="9" style="112"/>
    <col min="13313" max="13313" width="35.625" style="112" customWidth="1"/>
    <col min="13314" max="13314" width="17.5" style="112" customWidth="1"/>
    <col min="13315" max="13316" width="8.5" style="112" customWidth="1"/>
    <col min="13317" max="13317" width="119.75" style="112" bestFit="1" customWidth="1"/>
    <col min="13318" max="13318" width="15.375" style="112" customWidth="1"/>
    <col min="13319" max="13319" width="13.75" style="112" customWidth="1"/>
    <col min="13320" max="13568" width="9" style="112"/>
    <col min="13569" max="13569" width="35.625" style="112" customWidth="1"/>
    <col min="13570" max="13570" width="17.5" style="112" customWidth="1"/>
    <col min="13571" max="13572" width="8.5" style="112" customWidth="1"/>
    <col min="13573" max="13573" width="119.75" style="112" bestFit="1" customWidth="1"/>
    <col min="13574" max="13574" width="15.375" style="112" customWidth="1"/>
    <col min="13575" max="13575" width="13.75" style="112" customWidth="1"/>
    <col min="13576" max="13824" width="9" style="112"/>
    <col min="13825" max="13825" width="35.625" style="112" customWidth="1"/>
    <col min="13826" max="13826" width="17.5" style="112" customWidth="1"/>
    <col min="13827" max="13828" width="8.5" style="112" customWidth="1"/>
    <col min="13829" max="13829" width="119.75" style="112" bestFit="1" customWidth="1"/>
    <col min="13830" max="13830" width="15.375" style="112" customWidth="1"/>
    <col min="13831" max="13831" width="13.75" style="112" customWidth="1"/>
    <col min="13832" max="14080" width="9" style="112"/>
    <col min="14081" max="14081" width="35.625" style="112" customWidth="1"/>
    <col min="14082" max="14082" width="17.5" style="112" customWidth="1"/>
    <col min="14083" max="14084" width="8.5" style="112" customWidth="1"/>
    <col min="14085" max="14085" width="119.75" style="112" bestFit="1" customWidth="1"/>
    <col min="14086" max="14086" width="15.375" style="112" customWidth="1"/>
    <col min="14087" max="14087" width="13.75" style="112" customWidth="1"/>
    <col min="14088" max="14336" width="9" style="112"/>
    <col min="14337" max="14337" width="35.625" style="112" customWidth="1"/>
    <col min="14338" max="14338" width="17.5" style="112" customWidth="1"/>
    <col min="14339" max="14340" width="8.5" style="112" customWidth="1"/>
    <col min="14341" max="14341" width="119.75" style="112" bestFit="1" customWidth="1"/>
    <col min="14342" max="14342" width="15.375" style="112" customWidth="1"/>
    <col min="14343" max="14343" width="13.75" style="112" customWidth="1"/>
    <col min="14344" max="14592" width="9" style="112"/>
    <col min="14593" max="14593" width="35.625" style="112" customWidth="1"/>
    <col min="14594" max="14594" width="17.5" style="112" customWidth="1"/>
    <col min="14595" max="14596" width="8.5" style="112" customWidth="1"/>
    <col min="14597" max="14597" width="119.75" style="112" bestFit="1" customWidth="1"/>
    <col min="14598" max="14598" width="15.375" style="112" customWidth="1"/>
    <col min="14599" max="14599" width="13.75" style="112" customWidth="1"/>
    <col min="14600" max="14848" width="9" style="112"/>
    <col min="14849" max="14849" width="35.625" style="112" customWidth="1"/>
    <col min="14850" max="14850" width="17.5" style="112" customWidth="1"/>
    <col min="14851" max="14852" width="8.5" style="112" customWidth="1"/>
    <col min="14853" max="14853" width="119.75" style="112" bestFit="1" customWidth="1"/>
    <col min="14854" max="14854" width="15.375" style="112" customWidth="1"/>
    <col min="14855" max="14855" width="13.75" style="112" customWidth="1"/>
    <col min="14856" max="15104" width="9" style="112"/>
    <col min="15105" max="15105" width="35.625" style="112" customWidth="1"/>
    <col min="15106" max="15106" width="17.5" style="112" customWidth="1"/>
    <col min="15107" max="15108" width="8.5" style="112" customWidth="1"/>
    <col min="15109" max="15109" width="119.75" style="112" bestFit="1" customWidth="1"/>
    <col min="15110" max="15110" width="15.375" style="112" customWidth="1"/>
    <col min="15111" max="15111" width="13.75" style="112" customWidth="1"/>
    <col min="15112" max="15360" width="9" style="112"/>
    <col min="15361" max="15361" width="35.625" style="112" customWidth="1"/>
    <col min="15362" max="15362" width="17.5" style="112" customWidth="1"/>
    <col min="15363" max="15364" width="8.5" style="112" customWidth="1"/>
    <col min="15365" max="15365" width="119.75" style="112" bestFit="1" customWidth="1"/>
    <col min="15366" max="15366" width="15.375" style="112" customWidth="1"/>
    <col min="15367" max="15367" width="13.75" style="112" customWidth="1"/>
    <col min="15368" max="15616" width="9" style="112"/>
    <col min="15617" max="15617" width="35.625" style="112" customWidth="1"/>
    <col min="15618" max="15618" width="17.5" style="112" customWidth="1"/>
    <col min="15619" max="15620" width="8.5" style="112" customWidth="1"/>
    <col min="15621" max="15621" width="119.75" style="112" bestFit="1" customWidth="1"/>
    <col min="15622" max="15622" width="15.375" style="112" customWidth="1"/>
    <col min="15623" max="15623" width="13.75" style="112" customWidth="1"/>
    <col min="15624" max="15872" width="9" style="112"/>
    <col min="15873" max="15873" width="35.625" style="112" customWidth="1"/>
    <col min="15874" max="15874" width="17.5" style="112" customWidth="1"/>
    <col min="15875" max="15876" width="8.5" style="112" customWidth="1"/>
    <col min="15877" max="15877" width="119.75" style="112" bestFit="1" customWidth="1"/>
    <col min="15878" max="15878" width="15.375" style="112" customWidth="1"/>
    <col min="15879" max="15879" width="13.75" style="112" customWidth="1"/>
    <col min="15880" max="16128" width="9" style="112"/>
    <col min="16129" max="16129" width="35.625" style="112" customWidth="1"/>
    <col min="16130" max="16130" width="17.5" style="112" customWidth="1"/>
    <col min="16131" max="16132" width="8.5" style="112" customWidth="1"/>
    <col min="16133" max="16133" width="119.75" style="112" bestFit="1" customWidth="1"/>
    <col min="16134" max="16134" width="15.375" style="112" customWidth="1"/>
    <col min="16135" max="16135" width="13.75" style="112" customWidth="1"/>
    <col min="16136" max="16384" width="9" style="112"/>
  </cols>
  <sheetData>
    <row r="1" spans="1:7" s="105" customFormat="1">
      <c r="A1" s="248" t="s">
        <v>100</v>
      </c>
      <c r="B1" s="248"/>
      <c r="C1" s="248"/>
      <c r="D1" s="248"/>
      <c r="E1" s="248"/>
      <c r="F1" s="248"/>
    </row>
    <row r="2" spans="1:7" s="105" customFormat="1" ht="30" customHeight="1">
      <c r="A2" s="248"/>
      <c r="B2" s="248"/>
      <c r="C2" s="248"/>
      <c r="D2" s="248"/>
      <c r="E2" s="248"/>
      <c r="F2" s="248"/>
    </row>
    <row r="3" spans="1:7" s="106" customFormat="1" ht="24.95" customHeight="1">
      <c r="A3" s="249" t="str">
        <f>갑지!A6</f>
        <v xml:space="preserve"> 공사명 : 엘지 사택 음식물처리기용 급수배관 교체공사</v>
      </c>
      <c r="B3" s="249"/>
      <c r="C3" s="249"/>
      <c r="D3" s="249"/>
      <c r="E3" s="249"/>
      <c r="F3" s="249"/>
      <c r="G3" s="249"/>
    </row>
    <row r="4" spans="1:7" s="109" customFormat="1" ht="24" customHeight="1">
      <c r="A4" s="107" t="s">
        <v>101</v>
      </c>
      <c r="B4" s="107" t="s">
        <v>102</v>
      </c>
      <c r="C4" s="107" t="s">
        <v>103</v>
      </c>
      <c r="D4" s="108" t="s">
        <v>104</v>
      </c>
      <c r="E4" s="107" t="s">
        <v>105</v>
      </c>
      <c r="F4" s="107" t="s">
        <v>106</v>
      </c>
      <c r="G4" s="107" t="s">
        <v>107</v>
      </c>
    </row>
    <row r="5" spans="1:7" s="109" customFormat="1" ht="24" customHeight="1">
      <c r="A5" s="170" t="str">
        <f>'내역서(표준단가)'!F6</f>
        <v>용접배관 (철거)</v>
      </c>
      <c r="B5" s="170" t="str">
        <f>'내역서(표준단가)'!G6</f>
        <v>15㎜(시공량 : 95m)</v>
      </c>
      <c r="C5" s="170" t="str">
        <f>'내역서(표준단가)'!H6</f>
        <v>(일당)</v>
      </c>
      <c r="D5" s="170">
        <f>'내역서(표준단가)'!I6</f>
        <v>0.27368421052631581</v>
      </c>
      <c r="E5" s="116" t="s">
        <v>202</v>
      </c>
      <c r="F5" s="110"/>
      <c r="G5" s="111"/>
    </row>
    <row r="6" spans="1:7" s="109" customFormat="1" ht="24" customHeight="1">
      <c r="A6" s="170" t="str">
        <f>'내역서(표준단가)'!F7</f>
        <v>일반마감 배관보온 - 고무발포보온재 (철거)</v>
      </c>
      <c r="B6" s="170" t="str">
        <f>'내역서(표준단가)'!G7</f>
        <v>Ø15㎜ - 보온두께 : 25㎜이하(시공량 : 77m)</v>
      </c>
      <c r="C6" s="170" t="str">
        <f>'내역서(표준단가)'!H7</f>
        <v>(일당)</v>
      </c>
      <c r="D6" s="170">
        <f>'내역서(표준단가)'!I7</f>
        <v>0.27368421052631581</v>
      </c>
      <c r="E6" s="116" t="s">
        <v>202</v>
      </c>
      <c r="F6" s="110"/>
      <c r="G6" s="111"/>
    </row>
    <row r="7" spans="1:7" s="109" customFormat="1" ht="24" customHeight="1">
      <c r="A7" s="170" t="str">
        <f>'내역서(표준단가)'!F8</f>
        <v>일반밸브 및 콕류 설치 (철거)</v>
      </c>
      <c r="B7" s="170" t="str">
        <f>'내역서(표준단가)'!G8</f>
        <v>15~25㎜</v>
      </c>
      <c r="C7" s="170" t="str">
        <f>'내역서(표준단가)'!H8</f>
        <v>(개당)</v>
      </c>
      <c r="D7" s="170">
        <f>'내역서(표준단가)'!I8</f>
        <v>2</v>
      </c>
      <c r="E7" s="116" t="s">
        <v>135</v>
      </c>
      <c r="F7" s="110"/>
      <c r="G7" s="111"/>
    </row>
    <row r="8" spans="1:7" s="109" customFormat="1" ht="24" customHeight="1">
      <c r="A8" s="170" t="str">
        <f>'내역서(표준단가)'!F9</f>
        <v>용접배관</v>
      </c>
      <c r="B8" s="170" t="str">
        <f>'내역서(표준단가)'!G9</f>
        <v>15㎜(시공량 : 95m)</v>
      </c>
      <c r="C8" s="170" t="str">
        <f>'내역서(표준단가)'!H9</f>
        <v>(일당)</v>
      </c>
      <c r="D8" s="170">
        <f>'내역서(표준단가)'!I9</f>
        <v>0.27368421052631581</v>
      </c>
      <c r="E8" s="116" t="s">
        <v>202</v>
      </c>
      <c r="F8" s="110"/>
      <c r="G8" s="111"/>
    </row>
    <row r="9" spans="1:7" s="109" customFormat="1" ht="24" customHeight="1">
      <c r="A9" s="170" t="str">
        <f>'내역서(표준단가)'!F10</f>
        <v>고무발포 관보온</v>
      </c>
      <c r="B9" s="170" t="str">
        <f>'내역서(표준단가)'!G10</f>
        <v>25t x D15</v>
      </c>
      <c r="C9" s="170" t="str">
        <f>'내역서(표준단가)'!H10</f>
        <v>m</v>
      </c>
      <c r="D9" s="170">
        <f>'내역서(표준단가)'!I10</f>
        <v>14</v>
      </c>
      <c r="E9" s="116" t="s">
        <v>203</v>
      </c>
      <c r="F9" s="110"/>
      <c r="G9" s="111"/>
    </row>
    <row r="10" spans="1:7" s="109" customFormat="1" ht="24" customHeight="1">
      <c r="A10" s="170" t="str">
        <f>'내역서(표준단가)'!F11</f>
        <v>고무발포 관보온</v>
      </c>
      <c r="B10" s="170" t="str">
        <f>'내역서(표준단가)'!G11</f>
        <v>40t x D15</v>
      </c>
      <c r="C10" s="170" t="str">
        <f>'내역서(표준단가)'!H11</f>
        <v>m</v>
      </c>
      <c r="D10" s="170">
        <f>'내역서(표준단가)'!I11</f>
        <v>12</v>
      </c>
      <c r="E10" s="116" t="s">
        <v>204</v>
      </c>
      <c r="F10" s="110"/>
      <c r="G10" s="111"/>
    </row>
    <row r="11" spans="1:7" s="109" customFormat="1" ht="24" customHeight="1">
      <c r="A11" s="170" t="str">
        <f>'내역서(표준단가)'!F12</f>
        <v>용접접함 - 참고(&amp;#8226; TIG용접 소모재료)</v>
      </c>
      <c r="B11" s="170" t="str">
        <f>'내역서(표준단가)'!G12</f>
        <v>Ø15㎜</v>
      </c>
      <c r="C11" s="170" t="str">
        <f>'내역서(표준단가)'!H12</f>
        <v>(용접개소당)</v>
      </c>
      <c r="D11" s="170">
        <f>'내역서(표준단가)'!I12</f>
        <v>25</v>
      </c>
      <c r="E11" s="116" t="s">
        <v>205</v>
      </c>
      <c r="F11" s="110"/>
      <c r="G11" s="111"/>
    </row>
    <row r="12" spans="1:7" s="109" customFormat="1" ht="24" customHeight="1">
      <c r="A12" s="170" t="str">
        <f>'내역서(표준단가)'!F13</f>
        <v>용접접합</v>
      </c>
      <c r="B12" s="170" t="str">
        <f>'내역서(표준단가)'!G13</f>
        <v>15㎜</v>
      </c>
      <c r="C12" s="170" t="str">
        <f>'내역서(표준단가)'!H13</f>
        <v>(용접개소당)</v>
      </c>
      <c r="D12" s="170">
        <f>'내역서(표준단가)'!I13</f>
        <v>25</v>
      </c>
      <c r="E12" s="116" t="s">
        <v>205</v>
      </c>
      <c r="F12" s="110"/>
      <c r="G12" s="111"/>
    </row>
    <row r="13" spans="1:7" s="109" customFormat="1" ht="24" customHeight="1">
      <c r="A13" s="170" t="str">
        <f>'내역서(표준단가)'!F14</f>
        <v>배관용스테인리스강관(공업용)</v>
      </c>
      <c r="B13" s="170" t="str">
        <f>'내역서(표준단가)'!G14</f>
        <v>호칭15A, 외경21.7㎜, 3.0mm</v>
      </c>
      <c r="C13" s="170" t="str">
        <f>'내역서(표준단가)'!H14</f>
        <v>m</v>
      </c>
      <c r="D13" s="170">
        <f>'내역서(표준단가)'!I14</f>
        <v>26</v>
      </c>
      <c r="E13" s="116" t="s">
        <v>206</v>
      </c>
      <c r="F13" s="110"/>
      <c r="G13" s="111"/>
    </row>
    <row r="14" spans="1:7" s="109" customFormat="1" ht="24" customHeight="1">
      <c r="A14" s="170" t="str">
        <f>'내역서(표준단가)'!F15</f>
        <v>스테인리스관이음쇠</v>
      </c>
      <c r="B14" s="170" t="str">
        <f>'내역서(표준단가)'!G15</f>
        <v>90도 엘보(LONG), 15㎜, S/10</v>
      </c>
      <c r="C14" s="170" t="str">
        <f>'내역서(표준단가)'!H15</f>
        <v>개</v>
      </c>
      <c r="D14" s="170">
        <f>'내역서(표준단가)'!I15</f>
        <v>8</v>
      </c>
      <c r="E14" s="116" t="s">
        <v>207</v>
      </c>
      <c r="F14" s="110"/>
      <c r="G14" s="111"/>
    </row>
    <row r="15" spans="1:7" s="109" customFormat="1" ht="24" customHeight="1">
      <c r="A15" s="170" t="str">
        <f>'내역서(표준단가)'!F16</f>
        <v>스텐단닛블</v>
      </c>
      <c r="B15" s="170" t="str">
        <f>'내역서(표준단가)'!G16</f>
        <v>15A, 34㎜</v>
      </c>
      <c r="C15" s="170" t="str">
        <f>'내역서(표준단가)'!H16</f>
        <v>개</v>
      </c>
      <c r="D15" s="170">
        <f>'내역서(표준단가)'!I16</f>
        <v>2</v>
      </c>
      <c r="E15" s="116" t="s">
        <v>135</v>
      </c>
      <c r="F15" s="110"/>
      <c r="G15" s="111"/>
    </row>
    <row r="16" spans="1:7" s="109" customFormat="1" ht="24" customHeight="1">
      <c r="A16" s="170" t="str">
        <f>'내역서(표준단가)'!F17</f>
        <v>스테인리스볼밸브</v>
      </c>
      <c r="B16" s="170" t="str">
        <f>'내역서(표준단가)'!G17</f>
        <v>SCS13/SUS304(CF8)-10K(150LB)-SCR'D, 15A, 1/2</v>
      </c>
      <c r="C16" s="170" t="str">
        <f>'내역서(표준단가)'!H17</f>
        <v>개</v>
      </c>
      <c r="D16" s="170">
        <f>'내역서(표준단가)'!I17</f>
        <v>2</v>
      </c>
      <c r="E16" s="116" t="s">
        <v>135</v>
      </c>
      <c r="F16" s="110"/>
      <c r="G16" s="111"/>
    </row>
    <row r="17" spans="1:7" s="109" customFormat="1" ht="24" customHeight="1">
      <c r="A17" s="170" t="str">
        <f>'내역서(표준단가)'!F18</f>
        <v>파이프행거</v>
      </c>
      <c r="B17" s="170" t="str">
        <f>'내역서(표준단가)'!G18</f>
        <v>15A, 절연행거</v>
      </c>
      <c r="C17" s="170" t="str">
        <f>'내역서(표준단가)'!H18</f>
        <v>개</v>
      </c>
      <c r="D17" s="170">
        <f>'내역서(표준단가)'!I18</f>
        <v>7</v>
      </c>
      <c r="E17" s="116" t="s">
        <v>208</v>
      </c>
      <c r="F17" s="110"/>
      <c r="G17" s="111"/>
    </row>
    <row r="18" spans="1:7" s="109" customFormat="1" ht="24" customHeight="1">
      <c r="A18" s="170" t="str">
        <f>'내역서(표준단가)'!F19</f>
        <v>전산볼트</v>
      </c>
      <c r="B18" s="170" t="str">
        <f>'내역서(표준단가)'!G19</f>
        <v>M10(도금) (길이 1m)</v>
      </c>
      <c r="C18" s="170" t="str">
        <f>'내역서(표준단가)'!H19</f>
        <v>개</v>
      </c>
      <c r="D18" s="170">
        <f>'내역서(표준단가)'!I19</f>
        <v>8</v>
      </c>
      <c r="E18" s="116" t="s">
        <v>209</v>
      </c>
      <c r="F18" s="110"/>
      <c r="G18" s="111"/>
    </row>
    <row r="19" spans="1:7" s="109" customFormat="1" ht="24" customHeight="1">
      <c r="A19" s="170" t="str">
        <f>'내역서(표준단가)'!F20</f>
        <v>SET A/C(용융)</v>
      </c>
      <c r="B19" s="170" t="str">
        <f>'내역서(표준단가)'!G20</f>
        <v>3/8×75(9×75)</v>
      </c>
      <c r="C19" s="170" t="str">
        <f>'내역서(표준단가)'!H20</f>
        <v>개</v>
      </c>
      <c r="D19" s="170">
        <f>'내역서(표준단가)'!I20</f>
        <v>7</v>
      </c>
      <c r="E19" s="116" t="s">
        <v>210</v>
      </c>
      <c r="F19" s="110"/>
      <c r="G19" s="111"/>
    </row>
    <row r="20" spans="1:7" s="109" customFormat="1" ht="24" customHeight="1">
      <c r="A20" s="170" t="str">
        <f>'내역서(표준단가)'!F21</f>
        <v>부대공사(앵커볼트 설치 등) - 전산볼트 설치</v>
      </c>
      <c r="B20" s="170" t="str">
        <f>'내역서(표준단가)'!G21</f>
        <v>Ø13㎜이하</v>
      </c>
      <c r="C20" s="170" t="str">
        <f>'내역서(표준단가)'!H21</f>
        <v>(단위당)</v>
      </c>
      <c r="D20" s="170">
        <f>'내역서(표준단가)'!I21</f>
        <v>7</v>
      </c>
      <c r="E20" s="116" t="s">
        <v>210</v>
      </c>
      <c r="F20" s="110"/>
      <c r="G20" s="111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Upload</vt:lpstr>
      <vt:lpstr>Upload(시중가)-별도입력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2026-08-07T05:03:27Z</dcterms:modified>
</cp:coreProperties>
</file>
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7 사택 9-506 뒤베란다 외벽 단열작업\01 자료\"/>
    </mc:Choice>
  </mc:AlternateContent>
  <xr:revisionPtr revIDLastSave="0" documentId="13_ncr:1_{24D6D7F8-3C98-490B-83E5-25BD5F72259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8" i="4"/>
  <c r="S8" i="4"/>
  <c r="Q8" i="4"/>
  <c r="O8" i="4"/>
  <c r="A8" i="4"/>
  <c r="A5" i="1" s="1"/>
  <c r="J22" i="6" l="1"/>
  <c r="J24" i="6"/>
  <c r="J26" i="6"/>
  <c r="J23" i="6"/>
  <c r="J25" i="6"/>
  <c r="J27" i="6" s="1"/>
  <c r="V8" i="4"/>
  <c r="F2" i="1"/>
  <c r="E2" i="1"/>
  <c r="D2" i="1"/>
  <c r="C2" i="1"/>
  <c r="B2" i="1"/>
  <c r="U7" i="4"/>
  <c r="S7" i="4"/>
  <c r="Q7" i="4"/>
  <c r="O7" i="4"/>
  <c r="A7" i="4"/>
  <c r="A4" i="1" s="1"/>
  <c r="J28" i="6" l="1"/>
  <c r="J20" i="6" s="1"/>
  <c r="V7" i="4"/>
  <c r="U6" i="4"/>
  <c r="S6" i="4"/>
  <c r="Q6" i="4"/>
  <c r="O6" i="4"/>
  <c r="A6" i="4"/>
  <c r="A3" i="1" s="1"/>
  <c r="J30" i="6" l="1"/>
  <c r="V6" i="4"/>
  <c r="M32" i="6" l="1"/>
  <c r="B15" i="6" s="1"/>
  <c r="U5" i="4"/>
  <c r="S5" i="4"/>
  <c r="Q5" i="4"/>
  <c r="O5" i="4"/>
  <c r="A5" i="4"/>
  <c r="A2" i="1" s="1"/>
  <c r="V5" i="4" l="1"/>
  <c r="U9" i="4" l="1"/>
  <c r="Q9" i="4"/>
  <c r="S9" i="4" l="1"/>
  <c r="V9" i="4" l="1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<sst xmlns="http://schemas.openxmlformats.org/spreadsheetml/2006/main" count="130" uniqueCount="110">
  <si>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</si>
  <si>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</si>
  <si>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</si>
  <si>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</si>
  <si>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</si>
  <si>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</si>
  <si>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</si>
  <si>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</si>
  <si>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</si>
  <si>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</si>
  <si>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</si>
  <si>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</si>
  <si>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</si>
  <si>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</si>
  <si>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</si>
  <si>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</si>
  <si>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</si>
  <si>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</si>
  <si>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</si>
  <si>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</si>
  <si>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</si>
  <si>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</si>
  <si>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</si>
  <si>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</si>
  <si>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</si>
  <si>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</si>
  <si>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</si>
  <si>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</si>
  <si>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</si>
  <si>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</si>
  <si>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석고판 설치(나사 고정)</t>
  </si>
  <si>
    <t>(일당)</t>
  </si>
  <si>
    <t>M020750510120102</t>
  </si>
  <si>
    <t>900 X 1800X40, 3호(비중0.020)</t>
  </si>
  <si>
    <t>인</t>
    <phoneticPr fontId="11" type="noConversion"/>
  </si>
  <si>
    <t>L002</t>
    <phoneticPr fontId="11" type="noConversion"/>
  </si>
  <si>
    <t>보통인부</t>
    <phoneticPr fontId="11" type="noConversion"/>
  </si>
  <si>
    <t>에너폴(태화론 TW-06, 6㎜×1M×50M단면-점착 대체)</t>
  </si>
  <si>
    <t>M020750510130104</t>
  </si>
  <si>
    <t>에너폴</t>
  </si>
  <si>
    <t>이보드, 1000*1000*33T, 대체</t>
    <phoneticPr fontId="11" type="noConversion"/>
  </si>
  <si>
    <t>E00000803066470202</t>
    <phoneticPr fontId="11" type="noConversion"/>
  </si>
  <si>
    <t>바탕용(2겹) (시공량 : 30㎡),시공총량8/일당35=0.229</t>
    <phoneticPr fontId="11" type="noConversion"/>
  </si>
  <si>
    <r>
      <rPr>
        <b/>
        <sz val="10"/>
        <rFont val="Malgun Gothic"/>
        <family val="3"/>
        <charset val="129"/>
      </rPr>
      <t>뒤베란다 단열부위 하단</t>
    </r>
    <r>
      <rPr>
        <sz val="10"/>
        <rFont val="Malgun Gothic"/>
        <family val="3"/>
        <charset val="129"/>
      </rPr>
      <t xml:space="preserve"> , 타일붙임, 재료비 포함</t>
    </r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</si>
  <si>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</si>
  <si>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</si>
  <si>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</si>
  <si>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</si>
  <si>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</si>
  <si>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</si>
  <si>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</si>
  <si>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</si>
  <si>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</si>
  <si>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</si>
  <si>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</si>
  <si>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</si>
  <si>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</si>
  <si>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</si>
  <si>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</si>
  <si>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</si>
  <si>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</si>
  <si>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</si>
  <si>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</si>
  <si>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</si>
  <si>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</si>
  <si>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</si>
  <si>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</si>
  <si>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</si>
  <si>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</si>
  <si>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</si>
  <si>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</si>
  <si>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</si>
  <si>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</si>
  <si>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</si>
  <si>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</si>
  <si>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</si>
  <si>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</si>
  <si>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</si>
  <si>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</si>
  <si>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</si>
  <si>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</si>
  <si>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</si>
  <si>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</si>
  <si>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</si>
  <si>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</si>
  <si>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</si>
  <si>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</si>
  <si>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</si>
  <si>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</si>
  <si>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</si>
  <si>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</si>
  <si>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</si>
  <si>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</si>
  <si>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</si>
  <si>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</si>
  <si>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</si>
  <si>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</si>
  <si>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</si>
  <si>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</si>
  <si>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</si>
  <si>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</si>
  <si>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</si>
  <si>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</si>
  <si>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</si>
  <si>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</si>
  <si>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</si>
  <si>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</si>
  <si>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</si>
  <si>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9-506 뒤베란다 외벽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</si>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</sst>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00_);[Red]\(0.000\)"/>
    <numFmt numFmtId="183" formatCode="0.000_ "/>
    <numFmt numFmtId="184" formatCode="#,##0;\-#,##0;"/>
    <numFmt numFmtId="185" formatCode="0.000"/>
    <numFmt numFmtId="186" formatCode="&quot;공사명:&quot;\ 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76" fontId="22" fillId="0" borderId="2" xfId="1" applyFont="1" applyFill="1" applyBorder="1" applyAlignment="1">
      <alignment vertical="center" wrapText="1"/>
    </xf>
    <xf numFmtId="0" fontId="22" fillId="0" borderId="8" xfId="0" applyFont="1" applyBorder="1">
      <alignment vertical="center"/>
    </xf>
    <xf numFmtId="176" fontId="22" fillId="5" borderId="2" xfId="1" applyFont="1" applyFill="1" applyBorder="1" applyAlignment="1">
      <alignment vertical="center" wrapText="1"/>
    </xf>
    <xf numFmtId="182" fontId="22" fillId="5" borderId="2" xfId="1" applyNumberFormat="1" applyFont="1" applyFill="1" applyBorder="1" applyAlignment="1">
      <alignment vertical="center"/>
    </xf>
    <xf numFmtId="183" fontId="22" fillId="0" borderId="1" xfId="1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184" fontId="22" fillId="5" borderId="2" xfId="0" applyNumberFormat="1" applyFont="1" applyFill="1" applyBorder="1" applyAlignment="1">
      <alignment horizontal="right" vertical="center" wrapText="1"/>
    </xf>
    <xf numFmtId="184" fontId="22" fillId="6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/>
    </xf>
    <xf numFmtId="184" fontId="22" fillId="0" borderId="2" xfId="1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49" fontId="28" fillId="7" borderId="2" xfId="0" applyNumberFormat="1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/>
    </xf>
    <xf numFmtId="0" fontId="28" fillId="10" borderId="2" xfId="29" applyFont="1" applyFill="1" applyBorder="1" applyAlignment="1">
      <alignment horizontal="center" vertical="center"/>
    </xf>
    <xf numFmtId="49" fontId="28" fillId="0" borderId="2" xfId="29" applyNumberFormat="1" applyFont="1" applyBorder="1" applyAlignment="1">
      <alignment horizontal="center" vertical="center" wrapText="1"/>
    </xf>
    <xf numFmtId="49" fontId="28" fillId="11" borderId="2" xfId="29" applyNumberFormat="1" applyFont="1" applyFill="1" applyBorder="1" applyAlignment="1">
      <alignment horizontal="center" vertical="center"/>
    </xf>
    <xf numFmtId="185" fontId="28" fillId="5" borderId="2" xfId="1" applyNumberFormat="1" applyFont="1" applyFill="1" applyBorder="1" applyAlignment="1">
      <alignment horizontal="center" vertical="center"/>
    </xf>
    <xf numFmtId="184" fontId="28" fillId="11" borderId="2" xfId="30" applyNumberFormat="1" applyFont="1" applyFill="1" applyBorder="1" applyAlignment="1">
      <alignment horizontal="right" vertical="center"/>
    </xf>
    <xf numFmtId="49" fontId="28" fillId="7" borderId="2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184" fontId="28" fillId="5" borderId="2" xfId="1" applyNumberFormat="1" applyFont="1" applyFill="1" applyBorder="1" applyAlignment="1">
      <alignment horizontal="right" vertical="center" wrapText="1"/>
    </xf>
    <xf numFmtId="0" fontId="30" fillId="7" borderId="2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49" fontId="31" fillId="5" borderId="5" xfId="0" applyNumberFormat="1" applyFont="1" applyFill="1" applyBorder="1" applyAlignment="1">
      <alignment horizontal="center" vertical="center" wrapText="1"/>
    </xf>
    <xf numFmtId="49" fontId="31" fillId="5" borderId="2" xfId="0" applyNumberFormat="1" applyFont="1" applyFill="1" applyBorder="1" applyAlignment="1">
      <alignment horizontal="center" vertical="center" wrapText="1"/>
    </xf>
    <xf numFmtId="0" fontId="34" fillId="0" borderId="0" xfId="32" applyFont="1">
      <alignment vertical="center"/>
    </xf>
    <xf numFmtId="0" fontId="33" fillId="0" borderId="16" xfId="31" applyFont="1" applyBorder="1" applyAlignment="1">
      <alignment horizontal="center" vertical="center"/>
    </xf>
    <xf numFmtId="0" fontId="33" fillId="0" borderId="0" xfId="31" applyFont="1" applyAlignment="1">
      <alignment horizontal="center" vertical="center"/>
    </xf>
    <xf numFmtId="0" fontId="33" fillId="0" borderId="17" xfId="31" applyFont="1" applyBorder="1" applyAlignment="1">
      <alignment horizontal="center" vertical="center"/>
    </xf>
    <xf numFmtId="0" fontId="36" fillId="0" borderId="16" xfId="31" applyFont="1" applyBorder="1" applyAlignment="1">
      <alignment horizontal="left" vertical="center"/>
    </xf>
    <xf numFmtId="0" fontId="37" fillId="0" borderId="0" xfId="31" applyFont="1" applyAlignment="1">
      <alignment vertical="center"/>
    </xf>
    <xf numFmtId="0" fontId="37" fillId="0" borderId="0" xfId="31" applyFont="1" applyAlignment="1">
      <alignment horizontal="left" vertical="center" textRotation="1"/>
    </xf>
    <xf numFmtId="0" fontId="38" fillId="0" borderId="0" xfId="31" applyFont="1" applyAlignment="1">
      <alignment horizontal="centerContinuous" vertical="center"/>
    </xf>
    <xf numFmtId="0" fontId="38" fillId="0" borderId="17" xfId="31" applyFont="1" applyBorder="1" applyAlignment="1">
      <alignment vertical="center"/>
    </xf>
    <xf numFmtId="0" fontId="39" fillId="0" borderId="16" xfId="31" applyFont="1" applyBorder="1" applyAlignment="1">
      <alignment horizontal="left" vertical="center" indent="2"/>
    </xf>
    <xf numFmtId="0" fontId="34" fillId="0" borderId="18" xfId="31" applyFont="1" applyBorder="1" applyAlignment="1">
      <alignment vertical="center"/>
    </xf>
    <xf numFmtId="0" fontId="34" fillId="0" borderId="0" xfId="31" applyFont="1" applyAlignment="1">
      <alignment vertical="center"/>
    </xf>
    <xf numFmtId="0" fontId="38" fillId="0" borderId="17" xfId="31" applyFont="1" applyBorder="1" applyAlignment="1">
      <alignment horizontal="right" vertical="center"/>
    </xf>
    <xf numFmtId="0" fontId="39" fillId="0" borderId="16" xfId="31" applyFont="1" applyBorder="1" applyAlignment="1">
      <alignment vertical="center"/>
    </xf>
    <xf numFmtId="0" fontId="39" fillId="0" borderId="0" xfId="31" applyFont="1" applyAlignment="1">
      <alignment vertical="center"/>
    </xf>
    <xf numFmtId="0" fontId="38" fillId="0" borderId="0" xfId="31" applyFont="1" applyAlignment="1">
      <alignment horizontal="right" vertical="center"/>
    </xf>
    <xf numFmtId="0" fontId="39" fillId="0" borderId="17" xfId="31" applyFont="1" applyBorder="1" applyAlignment="1">
      <alignment vertical="center"/>
    </xf>
    <xf numFmtId="0" fontId="34" fillId="0" borderId="20" xfId="31" applyFont="1" applyBorder="1" applyAlignment="1">
      <alignment horizontal="center" vertical="center"/>
    </xf>
    <xf numFmtId="0" fontId="34" fillId="0" borderId="21" xfId="31" applyFont="1" applyBorder="1" applyAlignment="1">
      <alignment horizontal="center" vertical="center"/>
    </xf>
    <xf numFmtId="0" fontId="34" fillId="0" borderId="6" xfId="31" applyFont="1" applyBorder="1" applyAlignment="1">
      <alignment horizontal="center" vertical="center"/>
    </xf>
    <xf numFmtId="0" fontId="34" fillId="0" borderId="23" xfId="31" applyFont="1" applyBorder="1" applyAlignment="1">
      <alignment horizontal="center" vertical="center"/>
    </xf>
    <xf numFmtId="0" fontId="34" fillId="0" borderId="2" xfId="31" applyFont="1" applyBorder="1" applyAlignment="1">
      <alignment horizontal="center" vertical="center"/>
    </xf>
    <xf numFmtId="0" fontId="42" fillId="0" borderId="8" xfId="31" applyFont="1" applyBorder="1" applyAlignment="1">
      <alignment horizontal="center" vertical="center"/>
    </xf>
    <xf numFmtId="0" fontId="34" fillId="0" borderId="31" xfId="31" applyFont="1" applyBorder="1" applyAlignment="1">
      <alignment horizontal="center" vertical="center"/>
    </xf>
    <xf numFmtId="0" fontId="34" fillId="0" borderId="32" xfId="31" applyFont="1" applyBorder="1" applyAlignment="1">
      <alignment horizontal="center" vertical="center"/>
    </xf>
    <xf numFmtId="0" fontId="34" fillId="0" borderId="16" xfId="31" applyFont="1" applyBorder="1" applyAlignment="1">
      <alignment horizontal="center" vertical="center"/>
    </xf>
    <xf numFmtId="0" fontId="34" fillId="0" borderId="0" xfId="31" applyFont="1" applyAlignment="1">
      <alignment horizontal="center" vertical="center"/>
    </xf>
    <xf numFmtId="0" fontId="34" fillId="0" borderId="0" xfId="31" applyFont="1" applyAlignment="1">
      <alignment horizontal="left" vertical="center" indent="1"/>
    </xf>
    <xf numFmtId="0" fontId="38" fillId="0" borderId="0" xfId="31" applyFont="1" applyAlignment="1">
      <alignment vertical="center"/>
    </xf>
    <xf numFmtId="0" fontId="34" fillId="0" borderId="16" xfId="31" applyFont="1" applyBorder="1" applyAlignment="1">
      <alignment vertical="center"/>
    </xf>
    <xf numFmtId="0" fontId="34" fillId="0" borderId="17" xfId="31" applyFont="1" applyBorder="1" applyAlignment="1">
      <alignment vertical="center"/>
    </xf>
    <xf numFmtId="0" fontId="39" fillId="0" borderId="16" xfId="31" applyFont="1" applyBorder="1" applyAlignment="1">
      <alignment horizontal="left" vertical="center" indent="1"/>
    </xf>
    <xf numFmtId="0" fontId="44" fillId="0" borderId="0" xfId="31" applyFont="1" applyAlignment="1">
      <alignment vertical="center"/>
    </xf>
    <xf numFmtId="0" fontId="44" fillId="13" borderId="33" xfId="31" applyFont="1" applyFill="1" applyBorder="1" applyAlignment="1">
      <alignment horizontal="center" vertical="center"/>
    </xf>
    <xf numFmtId="0" fontId="44" fillId="13" borderId="34" xfId="31" applyFont="1" applyFill="1" applyBorder="1" applyAlignment="1">
      <alignment horizontal="center" vertical="center"/>
    </xf>
    <xf numFmtId="3" fontId="44" fillId="13" borderId="34" xfId="31" applyNumberFormat="1" applyFont="1" applyFill="1" applyBorder="1" applyAlignment="1">
      <alignment horizontal="center" vertical="center"/>
    </xf>
    <xf numFmtId="0" fontId="34" fillId="0" borderId="38" xfId="31" applyFont="1" applyBorder="1" applyAlignment="1">
      <alignment horizontal="center" vertical="center"/>
    </xf>
    <xf numFmtId="0" fontId="34" fillId="0" borderId="42" xfId="31" applyFont="1" applyBorder="1" applyAlignment="1">
      <alignment horizontal="center" vertical="center"/>
    </xf>
    <xf numFmtId="0" fontId="34" fillId="0" borderId="48" xfId="34" applyFont="1" applyBorder="1" applyAlignment="1">
      <alignment horizontal="center" vertical="center"/>
    </xf>
    <xf numFmtId="176" fontId="34" fillId="0" borderId="0" xfId="32" applyNumberFormat="1" applyFont="1">
      <alignment vertical="center"/>
    </xf>
    <xf numFmtId="0" fontId="34" fillId="0" borderId="52" xfId="34" applyFont="1" applyBorder="1" applyAlignment="1">
      <alignment horizontal="left" vertical="center" wrapText="1" indent="1"/>
    </xf>
    <xf numFmtId="0" fontId="38" fillId="0" borderId="57" xfId="34" applyFont="1" applyBorder="1" applyAlignment="1">
      <alignment horizontal="center" vertical="center"/>
    </xf>
    <xf numFmtId="185" fontId="38" fillId="0" borderId="57" xfId="34" applyNumberFormat="1" applyFont="1" applyBorder="1" applyAlignment="1">
      <alignment horizontal="center" vertical="center"/>
    </xf>
    <xf numFmtId="177" fontId="34" fillId="0" borderId="0" xfId="32" applyNumberFormat="1" applyFont="1">
      <alignment vertical="center"/>
    </xf>
    <xf numFmtId="2" fontId="38" fillId="0" borderId="59" xfId="34" applyNumberFormat="1" applyFont="1" applyBorder="1" applyAlignment="1">
      <alignment horizontal="center" vertical="center"/>
    </xf>
    <xf numFmtId="0" fontId="38" fillId="0" borderId="62" xfId="34" applyFont="1" applyBorder="1" applyAlignment="1">
      <alignment horizontal="center" vertical="center"/>
    </xf>
    <xf numFmtId="0" fontId="34" fillId="0" borderId="64" xfId="31" applyFont="1" applyBorder="1" applyAlignment="1">
      <alignment horizontal="center" vertical="center"/>
    </xf>
    <xf numFmtId="0" fontId="34" fillId="0" borderId="65" xfId="34" applyFont="1" applyBorder="1" applyAlignment="1">
      <alignment horizontal="left" vertical="center" wrapText="1" indent="1"/>
    </xf>
    <xf numFmtId="1" fontId="38" fillId="0" borderId="66" xfId="34" applyNumberFormat="1" applyFont="1" applyBorder="1" applyAlignment="1">
      <alignment horizontal="center" vertical="center"/>
    </xf>
    <xf numFmtId="0" fontId="38" fillId="0" borderId="66" xfId="34" applyFont="1" applyBorder="1" applyAlignment="1">
      <alignment horizontal="center" vertical="center"/>
    </xf>
    <xf numFmtId="0" fontId="38" fillId="0" borderId="70" xfId="34" applyFont="1" applyBorder="1" applyAlignment="1">
      <alignment horizontal="center" vertical="center"/>
    </xf>
    <xf numFmtId="176" fontId="34" fillId="0" borderId="0" xfId="35" applyFont="1">
      <alignment vertical="center"/>
    </xf>
    <xf numFmtId="176" fontId="48" fillId="14" borderId="35" xfId="31" applyNumberFormat="1" applyFont="1" applyFill="1" applyBorder="1" applyAlignment="1">
      <alignment horizontal="right" vertical="center"/>
    </xf>
    <xf numFmtId="0" fontId="48" fillId="14" borderId="35" xfId="31" applyFont="1" applyFill="1" applyBorder="1" applyAlignment="1">
      <alignment horizontal="right" vertical="center"/>
    </xf>
    <xf numFmtId="176" fontId="48" fillId="14" borderId="72" xfId="35" applyFont="1" applyFill="1" applyBorder="1" applyAlignment="1">
      <alignment horizontal="right" vertical="center"/>
    </xf>
    <xf numFmtId="179" fontId="34" fillId="0" borderId="0" xfId="37" applyFont="1" applyAlignment="1">
      <alignment vertical="center"/>
    </xf>
    <xf numFmtId="49" fontId="38" fillId="0" borderId="16" xfId="31" applyNumberFormat="1" applyFont="1" applyBorder="1" applyAlignment="1">
      <alignment horizontal="left" vertical="center" indent="1"/>
    </xf>
    <xf numFmtId="49" fontId="34" fillId="0" borderId="0" xfId="31" applyNumberFormat="1" applyFont="1" applyAlignment="1">
      <alignment vertical="center"/>
    </xf>
    <xf numFmtId="49" fontId="34" fillId="0" borderId="17" xfId="31" applyNumberFormat="1" applyFont="1" applyBorder="1" applyAlignment="1">
      <alignment vertical="center"/>
    </xf>
    <xf numFmtId="49" fontId="34" fillId="0" borderId="16" xfId="31" applyNumberFormat="1" applyFont="1" applyBorder="1" applyAlignment="1">
      <alignment vertical="center"/>
    </xf>
    <xf numFmtId="0" fontId="39" fillId="0" borderId="0" xfId="34" applyFont="1" applyAlignment="1">
      <alignment horizontal="left" vertical="center"/>
    </xf>
    <xf numFmtId="0" fontId="39" fillId="0" borderId="17" xfId="34" applyFont="1" applyBorder="1" applyAlignment="1">
      <alignment horizontal="left" vertical="center"/>
    </xf>
    <xf numFmtId="49" fontId="34" fillId="0" borderId="74" xfId="31" applyNumberFormat="1" applyFont="1" applyBorder="1" applyAlignment="1">
      <alignment vertical="center"/>
    </xf>
    <xf numFmtId="49" fontId="34" fillId="0" borderId="75" xfId="31" applyNumberFormat="1" applyFont="1" applyBorder="1" applyAlignment="1">
      <alignment vertical="center"/>
    </xf>
    <xf numFmtId="49" fontId="34" fillId="0" borderId="76" xfId="31" applyNumberFormat="1" applyFont="1" applyBorder="1" applyAlignment="1">
      <alignment vertical="center"/>
    </xf>
    <xf numFmtId="0" fontId="39" fillId="0" borderId="18" xfId="31" applyFont="1" applyFill="1" applyBorder="1" applyAlignment="1">
      <alignment vertical="center"/>
    </xf>
    <xf numFmtId="0" fontId="34" fillId="0" borderId="18" xfId="31" applyFont="1" applyFill="1" applyBorder="1" applyAlignment="1">
      <alignment vertical="center"/>
    </xf>
    <xf numFmtId="0" fontId="34" fillId="0" borderId="19" xfId="31" applyFont="1" applyFill="1" applyBorder="1" applyAlignment="1">
      <alignment horizontal="right" vertical="center"/>
    </xf>
    <xf numFmtId="0" fontId="34" fillId="0" borderId="20" xfId="31" applyFont="1" applyFill="1" applyBorder="1" applyAlignment="1">
      <alignment horizontal="center" vertical="center"/>
    </xf>
    <xf numFmtId="0" fontId="34" fillId="0" borderId="39" xfId="34" applyFont="1" applyFill="1" applyBorder="1" applyAlignment="1">
      <alignment horizontal="center" vertical="center"/>
    </xf>
    <xf numFmtId="0" fontId="34" fillId="0" borderId="41" xfId="34" applyFont="1" applyFill="1" applyBorder="1" applyAlignment="1">
      <alignment horizontal="center" vertical="center"/>
    </xf>
    <xf numFmtId="0" fontId="34" fillId="0" borderId="46" xfId="34" applyFont="1" applyFill="1" applyBorder="1" applyAlignment="1">
      <alignment horizontal="center" vertical="center"/>
    </xf>
    <xf numFmtId="0" fontId="38" fillId="0" borderId="53" xfId="34" applyFont="1" applyFill="1" applyBorder="1" applyAlignment="1">
      <alignment horizontal="center" vertical="center"/>
    </xf>
    <xf numFmtId="0" fontId="38" fillId="0" borderId="66" xfId="34" applyFont="1" applyBorder="1" applyAlignment="1">
      <alignment horizontal="left" vertical="center" wrapText="1" indent="1"/>
    </xf>
    <xf numFmtId="0" fontId="38" fillId="0" borderId="67" xfId="34" applyFont="1" applyBorder="1" applyAlignment="1">
      <alignment horizontal="left" vertical="center" wrapText="1" indent="1"/>
    </xf>
    <xf numFmtId="0" fontId="38" fillId="0" borderId="68" xfId="34" applyFont="1" applyBorder="1" applyAlignment="1">
      <alignment horizontal="left" vertical="center" wrapText="1" indent="1"/>
    </xf>
    <xf numFmtId="176" fontId="34" fillId="0" borderId="66" xfId="35" applyFont="1" applyFill="1" applyBorder="1" applyAlignment="1">
      <alignment horizontal="right" vertical="center"/>
    </xf>
    <xf numFmtId="176" fontId="34" fillId="0" borderId="67" xfId="35" applyFont="1" applyFill="1" applyBorder="1" applyAlignment="1">
      <alignment horizontal="right" vertical="center"/>
    </xf>
    <xf numFmtId="176" fontId="34" fillId="0" borderId="68" xfId="35" applyFont="1" applyFill="1" applyBorder="1" applyAlignment="1">
      <alignment horizontal="right" vertical="center"/>
    </xf>
    <xf numFmtId="176" fontId="34" fillId="0" borderId="66" xfId="36" applyFont="1" applyFill="1" applyBorder="1" applyAlignment="1">
      <alignment horizontal="left" vertical="center"/>
    </xf>
    <xf numFmtId="176" fontId="34" fillId="0" borderId="69" xfId="36" applyFont="1" applyFill="1" applyBorder="1" applyAlignment="1">
      <alignment horizontal="left" vertical="center"/>
    </xf>
    <xf numFmtId="0" fontId="48" fillId="14" borderId="71" xfId="31" applyFont="1" applyFill="1" applyBorder="1" applyAlignment="1">
      <alignment horizontal="center" vertical="center"/>
    </xf>
    <xf numFmtId="0" fontId="48" fillId="14" borderId="35" xfId="31" applyFont="1" applyFill="1" applyBorder="1" applyAlignment="1">
      <alignment horizontal="center" vertical="center"/>
    </xf>
    <xf numFmtId="0" fontId="48" fillId="14" borderId="72" xfId="31" applyFont="1" applyFill="1" applyBorder="1" applyAlignment="1">
      <alignment horizontal="center" vertical="center"/>
    </xf>
    <xf numFmtId="9" fontId="48" fillId="14" borderId="73" xfId="2" applyFont="1" applyFill="1" applyBorder="1" applyAlignment="1">
      <alignment horizontal="center" vertical="center"/>
    </xf>
    <xf numFmtId="9" fontId="48" fillId="14" borderId="37" xfId="2" applyFont="1" applyFill="1" applyBorder="1" applyAlignment="1">
      <alignment horizontal="center" vertical="center"/>
    </xf>
    <xf numFmtId="176" fontId="34" fillId="0" borderId="48" xfId="35" applyFont="1" applyFill="1" applyBorder="1" applyAlignment="1">
      <alignment horizontal="right" vertical="center"/>
    </xf>
    <xf numFmtId="176" fontId="34" fillId="0" borderId="49" xfId="35" applyFont="1" applyFill="1" applyBorder="1" applyAlignment="1">
      <alignment horizontal="right" vertical="center"/>
    </xf>
    <xf numFmtId="176" fontId="34" fillId="0" borderId="50" xfId="35" applyFont="1" applyFill="1" applyBorder="1" applyAlignment="1">
      <alignment horizontal="right" vertical="center"/>
    </xf>
    <xf numFmtId="176" fontId="34" fillId="0" borderId="48" xfId="36" applyFont="1" applyFill="1" applyBorder="1" applyAlignment="1">
      <alignment horizontal="left" vertical="center"/>
    </xf>
    <xf numFmtId="176" fontId="34" fillId="0" borderId="51" xfId="36" applyFont="1" applyFill="1" applyBorder="1" applyAlignment="1">
      <alignment horizontal="left" vertical="center"/>
    </xf>
    <xf numFmtId="176" fontId="47" fillId="0" borderId="66" xfId="36" applyFont="1" applyBorder="1" applyAlignment="1">
      <alignment horizontal="left" vertical="center"/>
    </xf>
    <xf numFmtId="176" fontId="47" fillId="0" borderId="69" xfId="36" applyFont="1" applyBorder="1" applyAlignment="1">
      <alignment horizontal="left" vertical="center"/>
    </xf>
    <xf numFmtId="0" fontId="38" fillId="0" borderId="59" xfId="34" applyFont="1" applyBorder="1" applyAlignment="1">
      <alignment horizontal="left" vertical="center" wrapText="1" indent="1"/>
    </xf>
    <xf numFmtId="0" fontId="38" fillId="0" borderId="60" xfId="34" applyFont="1" applyBorder="1" applyAlignment="1">
      <alignment horizontal="left" vertical="center" wrapText="1" indent="1"/>
    </xf>
    <xf numFmtId="0" fontId="38" fillId="0" borderId="61" xfId="34" applyFont="1" applyBorder="1" applyAlignment="1">
      <alignment horizontal="left" vertical="center" wrapText="1" indent="1"/>
    </xf>
    <xf numFmtId="176" fontId="34" fillId="0" borderId="59" xfId="35" applyFont="1" applyFill="1" applyBorder="1" applyAlignment="1">
      <alignment horizontal="right" vertical="center"/>
    </xf>
    <xf numFmtId="176" fontId="34" fillId="0" borderId="60" xfId="35" applyFont="1" applyFill="1" applyBorder="1" applyAlignment="1">
      <alignment horizontal="right" vertical="center"/>
    </xf>
    <xf numFmtId="176" fontId="34" fillId="0" borderId="61" xfId="35" applyFont="1" applyFill="1" applyBorder="1" applyAlignment="1">
      <alignment horizontal="right" vertical="center"/>
    </xf>
    <xf numFmtId="176" fontId="34" fillId="0" borderId="57" xfId="36" applyFont="1" applyFill="1" applyBorder="1" applyAlignment="1">
      <alignment horizontal="left" vertical="center"/>
    </xf>
    <xf numFmtId="176" fontId="34" fillId="0" borderId="25" xfId="36" applyFont="1" applyFill="1" applyBorder="1" applyAlignment="1">
      <alignment horizontal="left" vertical="center"/>
    </xf>
    <xf numFmtId="176" fontId="34" fillId="0" borderId="59" xfId="36" applyFont="1" applyFill="1" applyBorder="1" applyAlignment="1">
      <alignment horizontal="left" vertical="center"/>
    </xf>
    <xf numFmtId="176" fontId="34" fillId="0" borderId="63" xfId="36" applyFont="1" applyFill="1" applyBorder="1" applyAlignment="1">
      <alignment horizontal="left" vertical="center"/>
    </xf>
    <xf numFmtId="0" fontId="38" fillId="0" borderId="57" xfId="34" applyFont="1" applyBorder="1" applyAlignment="1">
      <alignment horizontal="left" vertical="center" wrapText="1" indent="1"/>
    </xf>
    <xf numFmtId="0" fontId="38" fillId="0" borderId="4" xfId="34" applyFont="1" applyBorder="1" applyAlignment="1">
      <alignment horizontal="left" vertical="center" wrapText="1" indent="1"/>
    </xf>
    <xf numFmtId="0" fontId="38" fillId="0" borderId="58" xfId="34" applyFont="1" applyBorder="1" applyAlignment="1">
      <alignment horizontal="left" vertical="center" wrapText="1" indent="1"/>
    </xf>
    <xf numFmtId="176" fontId="34" fillId="0" borderId="57" xfId="35" applyFont="1" applyFill="1" applyBorder="1" applyAlignment="1">
      <alignment horizontal="right" vertical="center"/>
    </xf>
    <xf numFmtId="176" fontId="34" fillId="0" borderId="4" xfId="35" applyFont="1" applyFill="1" applyBorder="1" applyAlignment="1">
      <alignment horizontal="right" vertical="center"/>
    </xf>
    <xf numFmtId="176" fontId="34" fillId="0" borderId="58" xfId="35" applyFont="1" applyFill="1" applyBorder="1" applyAlignment="1">
      <alignment horizontal="right" vertical="center"/>
    </xf>
    <xf numFmtId="0" fontId="38" fillId="0" borderId="53" xfId="34" applyFont="1" applyFill="1" applyBorder="1" applyAlignment="1">
      <alignment horizontal="left" vertical="center" wrapText="1" indent="1"/>
    </xf>
    <xf numFmtId="0" fontId="38" fillId="0" borderId="54" xfId="34" applyFont="1" applyFill="1" applyBorder="1" applyAlignment="1">
      <alignment horizontal="left" vertical="center" wrapText="1" indent="1"/>
    </xf>
    <xf numFmtId="0" fontId="38" fillId="0" borderId="55" xfId="34" applyFont="1" applyFill="1" applyBorder="1" applyAlignment="1">
      <alignment horizontal="left" vertical="center" wrapText="1" indent="1"/>
    </xf>
    <xf numFmtId="176" fontId="34" fillId="0" borderId="53" xfId="35" applyFont="1" applyFill="1" applyBorder="1" applyAlignment="1">
      <alignment horizontal="right" vertical="center"/>
    </xf>
    <xf numFmtId="176" fontId="34" fillId="0" borderId="54" xfId="35" applyFont="1" applyFill="1" applyBorder="1" applyAlignment="1">
      <alignment horizontal="right" vertical="center"/>
    </xf>
    <xf numFmtId="176" fontId="34" fillId="0" borderId="55" xfId="35" applyFont="1" applyFill="1" applyBorder="1" applyAlignment="1">
      <alignment horizontal="right" vertical="center"/>
    </xf>
    <xf numFmtId="176" fontId="34" fillId="0" borderId="53" xfId="36" applyFont="1" applyBorder="1" applyAlignment="1">
      <alignment horizontal="left" vertical="center"/>
    </xf>
    <xf numFmtId="176" fontId="34" fillId="0" borderId="56" xfId="36" applyFont="1" applyBorder="1" applyAlignment="1">
      <alignment horizontal="left" vertical="center"/>
    </xf>
    <xf numFmtId="0" fontId="34" fillId="0" borderId="43" xfId="34" applyFont="1" applyFill="1" applyBorder="1" applyAlignment="1">
      <alignment horizontal="center" vertical="center" wrapText="1"/>
    </xf>
    <xf numFmtId="0" fontId="34" fillId="0" borderId="44" xfId="34" applyFont="1" applyFill="1" applyBorder="1" applyAlignment="1">
      <alignment horizontal="center" vertical="center" wrapText="1"/>
    </xf>
    <xf numFmtId="0" fontId="34" fillId="0" borderId="45" xfId="34" applyFont="1" applyFill="1" applyBorder="1" applyAlignment="1">
      <alignment horizontal="center" vertical="center" wrapText="1"/>
    </xf>
    <xf numFmtId="176" fontId="34" fillId="0" borderId="43" xfId="35" applyFont="1" applyFill="1" applyBorder="1" applyAlignment="1">
      <alignment horizontal="right" vertical="center"/>
    </xf>
    <xf numFmtId="176" fontId="34" fillId="0" borderId="44" xfId="35" applyFont="1" applyFill="1" applyBorder="1" applyAlignment="1">
      <alignment horizontal="right" vertical="center"/>
    </xf>
    <xf numFmtId="176" fontId="34" fillId="0" borderId="45" xfId="35" applyFont="1" applyFill="1" applyBorder="1" applyAlignment="1">
      <alignment horizontal="right" vertical="center"/>
    </xf>
    <xf numFmtId="176" fontId="34" fillId="0" borderId="43" xfId="36" applyFont="1" applyBorder="1" applyAlignment="1">
      <alignment horizontal="left" vertical="center"/>
    </xf>
    <xf numFmtId="176" fontId="34" fillId="0" borderId="47" xfId="36" applyFont="1" applyBorder="1" applyAlignment="1">
      <alignment horizontal="left" vertical="center"/>
    </xf>
    <xf numFmtId="0" fontId="34" fillId="0" borderId="43" xfId="34" applyFont="1" applyBorder="1" applyAlignment="1">
      <alignment horizontal="center" vertical="center" wrapText="1"/>
    </xf>
    <xf numFmtId="0" fontId="34" fillId="0" borderId="44" xfId="34" applyFont="1" applyBorder="1" applyAlignment="1">
      <alignment horizontal="center" vertical="center" wrapText="1"/>
    </xf>
    <xf numFmtId="0" fontId="34" fillId="0" borderId="45" xfId="34" applyFont="1" applyBorder="1" applyAlignment="1">
      <alignment horizontal="center" vertical="center" wrapText="1"/>
    </xf>
    <xf numFmtId="176" fontId="34" fillId="0" borderId="48" xfId="35" applyFont="1" applyBorder="1" applyAlignment="1">
      <alignment horizontal="center" vertical="center"/>
    </xf>
    <xf numFmtId="176" fontId="34" fillId="0" borderId="49" xfId="35" applyFont="1" applyBorder="1" applyAlignment="1">
      <alignment horizontal="center" vertical="center"/>
    </xf>
    <xf numFmtId="176" fontId="34" fillId="0" borderId="50" xfId="35" applyFont="1" applyBorder="1" applyAlignment="1">
      <alignment horizontal="center" vertical="center"/>
    </xf>
    <xf numFmtId="176" fontId="34" fillId="0" borderId="48" xfId="36" applyFont="1" applyBorder="1" applyAlignment="1">
      <alignment horizontal="left" vertical="center"/>
    </xf>
    <xf numFmtId="176" fontId="34" fillId="0" borderId="51" xfId="36" applyFont="1" applyBorder="1" applyAlignment="1">
      <alignment horizontal="left" vertical="center"/>
    </xf>
    <xf numFmtId="0" fontId="45" fillId="12" borderId="0" xfId="33" applyFont="1" applyFill="1" applyAlignment="1">
      <alignment horizontal="left" vertical="center"/>
    </xf>
    <xf numFmtId="0" fontId="45" fillId="12" borderId="17" xfId="33" applyFont="1" applyFill="1" applyBorder="1" applyAlignment="1">
      <alignment horizontal="left" vertical="center"/>
    </xf>
    <xf numFmtId="0" fontId="34" fillId="0" borderId="0" xfId="31" applyFont="1" applyAlignment="1">
      <alignment horizontal="right" vertical="center"/>
    </xf>
    <xf numFmtId="0" fontId="34" fillId="0" borderId="17" xfId="31" applyFont="1" applyBorder="1" applyAlignment="1">
      <alignment horizontal="right" vertical="center"/>
    </xf>
    <xf numFmtId="0" fontId="34" fillId="0" borderId="39" xfId="34" applyFont="1" applyFill="1" applyBorder="1" applyAlignment="1">
      <alignment horizontal="center" vertical="center" wrapText="1"/>
    </xf>
    <xf numFmtId="0" fontId="34" fillId="0" borderId="20" xfId="34" applyFont="1" applyFill="1" applyBorder="1" applyAlignment="1">
      <alignment horizontal="center" vertical="center" wrapText="1"/>
    </xf>
    <xf numFmtId="0" fontId="34" fillId="0" borderId="40" xfId="34" applyFont="1" applyFill="1" applyBorder="1" applyAlignment="1">
      <alignment horizontal="center" vertical="center" wrapText="1"/>
    </xf>
    <xf numFmtId="176" fontId="34" fillId="0" borderId="41" xfId="35" applyFont="1" applyFill="1" applyBorder="1" applyAlignment="1">
      <alignment horizontal="right" vertical="center"/>
    </xf>
    <xf numFmtId="176" fontId="34" fillId="0" borderId="39" xfId="34" applyNumberFormat="1" applyFont="1" applyBorder="1" applyAlignment="1">
      <alignment horizontal="left" vertical="center"/>
    </xf>
    <xf numFmtId="176" fontId="34" fillId="0" borderId="21" xfId="34" applyNumberFormat="1" applyFont="1" applyBorder="1" applyAlignment="1">
      <alignment horizontal="left" vertical="center"/>
    </xf>
    <xf numFmtId="0" fontId="44" fillId="13" borderId="34" xfId="31" applyFont="1" applyFill="1" applyBorder="1" applyAlignment="1">
      <alignment horizontal="center" vertical="center"/>
    </xf>
    <xf numFmtId="0" fontId="44" fillId="13" borderId="35" xfId="31" applyFont="1" applyFill="1" applyBorder="1" applyAlignment="1">
      <alignment horizontal="center" vertical="center"/>
    </xf>
    <xf numFmtId="0" fontId="44" fillId="13" borderId="36" xfId="31" applyFont="1" applyFill="1" applyBorder="1" applyAlignment="1">
      <alignment horizontal="center" vertical="center"/>
    </xf>
    <xf numFmtId="3" fontId="44" fillId="13" borderId="34" xfId="31" applyNumberFormat="1" applyFont="1" applyFill="1" applyBorder="1" applyAlignment="1">
      <alignment horizontal="center" vertical="center"/>
    </xf>
    <xf numFmtId="3" fontId="44" fillId="13" borderId="35" xfId="31" applyNumberFormat="1" applyFont="1" applyFill="1" applyBorder="1" applyAlignment="1">
      <alignment horizontal="center" vertical="center"/>
    </xf>
    <xf numFmtId="3" fontId="44" fillId="13" borderId="36" xfId="31" applyNumberFormat="1" applyFont="1" applyFill="1" applyBorder="1" applyAlignment="1">
      <alignment horizontal="center" vertical="center"/>
    </xf>
    <xf numFmtId="0" fontId="44" fillId="13" borderId="37" xfId="31" applyFont="1" applyFill="1" applyBorder="1" applyAlignment="1">
      <alignment horizontal="center" vertical="center"/>
    </xf>
    <xf numFmtId="186" fontId="43" fillId="12" borderId="0" xfId="31" applyNumberFormat="1" applyFont="1" applyFill="1" applyAlignment="1">
      <alignment horizontal="left" vertical="center"/>
    </xf>
    <xf numFmtId="0" fontId="33" fillId="0" borderId="13" xfId="31" applyFont="1" applyBorder="1" applyAlignment="1">
      <alignment horizontal="center" vertical="center"/>
    </xf>
    <xf numFmtId="0" fontId="33" fillId="0" borderId="14" xfId="31" applyFont="1" applyBorder="1" applyAlignment="1">
      <alignment horizontal="center" vertical="center"/>
    </xf>
    <xf numFmtId="0" fontId="33" fillId="0" borderId="15" xfId="31" applyFont="1" applyBorder="1" applyAlignment="1">
      <alignment horizontal="center" vertical="center"/>
    </xf>
    <xf numFmtId="0" fontId="35" fillId="0" borderId="16" xfId="31" applyFont="1" applyBorder="1" applyAlignment="1" applyProtection="1">
      <alignment horizontal="center" vertical="center"/>
      <protection locked="0"/>
    </xf>
    <xf numFmtId="0" fontId="35" fillId="0" borderId="0" xfId="31" applyFont="1" applyAlignment="1" applyProtection="1">
      <alignment horizontal="center" vertical="center"/>
      <protection locked="0"/>
    </xf>
    <xf numFmtId="0" fontId="35" fillId="0" borderId="17" xfId="31" applyFont="1" applyBorder="1" applyAlignment="1" applyProtection="1">
      <alignment horizontal="center" vertical="center"/>
      <protection locked="0"/>
    </xf>
    <xf numFmtId="0" fontId="34" fillId="11" borderId="19" xfId="31" applyFont="1" applyFill="1" applyBorder="1" applyAlignment="1">
      <alignment horizontal="center" vertical="center"/>
    </xf>
    <xf numFmtId="0" fontId="34" fillId="11" borderId="20" xfId="31" applyFont="1" applyFill="1" applyBorder="1" applyAlignment="1">
      <alignment horizontal="center" vertical="center"/>
    </xf>
    <xf numFmtId="0" fontId="34" fillId="11" borderId="21" xfId="31" applyFont="1" applyFill="1" applyBorder="1" applyAlignment="1">
      <alignment horizontal="center" vertical="center"/>
    </xf>
    <xf numFmtId="0" fontId="34" fillId="0" borderId="22" xfId="31" applyFont="1" applyBorder="1" applyAlignment="1">
      <alignment horizontal="center" vertical="center" wrapText="1"/>
    </xf>
    <xf numFmtId="0" fontId="34" fillId="0" borderId="26" xfId="31" applyFont="1" applyBorder="1" applyAlignment="1">
      <alignment horizontal="center" vertical="center"/>
    </xf>
    <xf numFmtId="0" fontId="34" fillId="0" borderId="30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4" fillId="0" borderId="4" xfId="31" applyFont="1" applyBorder="1" applyAlignment="1">
      <alignment horizontal="center" vertical="center"/>
    </xf>
    <xf numFmtId="0" fontId="34" fillId="0" borderId="25" xfId="31" applyFont="1" applyBorder="1" applyAlignment="1">
      <alignment horizontal="center" vertical="center"/>
    </xf>
    <xf numFmtId="0" fontId="41" fillId="0" borderId="24" xfId="31" applyFont="1" applyBorder="1" applyAlignment="1">
      <alignment horizontal="center" vertical="center"/>
    </xf>
    <xf numFmtId="0" fontId="39" fillId="0" borderId="4" xfId="31" applyFont="1" applyBorder="1" applyAlignment="1">
      <alignment horizontal="center" vertical="center"/>
    </xf>
    <xf numFmtId="0" fontId="39" fillId="0" borderId="5" xfId="31" applyFont="1" applyBorder="1" applyAlignment="1">
      <alignment horizontal="center" vertical="center"/>
    </xf>
    <xf numFmtId="0" fontId="41" fillId="0" borderId="3" xfId="31" applyFont="1" applyBorder="1" applyAlignment="1">
      <alignment horizontal="center" vertical="center"/>
    </xf>
    <xf numFmtId="0" fontId="39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left" vertical="center" indent="1"/>
    </xf>
    <xf numFmtId="0" fontId="34" fillId="0" borderId="4" xfId="31" applyFont="1" applyBorder="1" applyAlignment="1">
      <alignment horizontal="left" vertical="center" indent="1"/>
    </xf>
    <xf numFmtId="0" fontId="34" fillId="0" borderId="25" xfId="31" applyFont="1" applyBorder="1" applyAlignment="1">
      <alignment horizontal="left" vertical="center" indent="1"/>
    </xf>
    <xf numFmtId="0" fontId="34" fillId="0" borderId="3" xfId="31" applyFont="1" applyBorder="1" applyAlignment="1">
      <alignment horizontal="center" vertical="center"/>
    </xf>
    <xf numFmtId="0" fontId="34" fillId="0" borderId="27" xfId="31" applyFont="1" applyBorder="1" applyAlignment="1">
      <alignment horizontal="center" vertical="center"/>
    </xf>
    <xf numFmtId="0" fontId="34" fillId="0" borderId="28" xfId="31" applyFont="1" applyBorder="1" applyAlignment="1">
      <alignment horizontal="center" vertical="center"/>
    </xf>
    <xf numFmtId="0" fontId="34" fillId="0" borderId="29" xfId="31" applyFont="1" applyBorder="1" applyAlignment="1">
      <alignment horizontal="center" vertical="center"/>
    </xf>
    <xf numFmtId="0" fontId="34" fillId="0" borderId="27" xfId="31" applyFont="1" applyBorder="1" applyAlignment="1">
      <alignment horizontal="left" vertical="center" indent="1"/>
    </xf>
    <xf numFmtId="0" fontId="34" fillId="0" borderId="28" xfId="31" applyFont="1" applyBorder="1" applyAlignment="1">
      <alignment horizontal="left" vertical="center" indent="1"/>
    </xf>
    <xf numFmtId="0" fontId="34" fillId="0" borderId="29" xfId="31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6FA5ABB6-BC82-41BA-87CA-F39B369F7CC8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92FC61CB-E1AB-4041-B8B7-03B68AC3B4F4}"/>
    <cellStyle name="쉼표 [0] 3" xfId="14" xr:uid="{8F7BE219-40E1-4BBB-A9BD-02188B74B2A3}"/>
    <cellStyle name="쉼표 [0] 4" xfId="27" xr:uid="{CC0B73B0-7462-4D01-B0C9-D11C17A5C7E0}"/>
    <cellStyle name="쉼표 [0] 5" xfId="35" xr:uid="{CBC6CC70-F90A-4C08-8782-A96B20A5026C}"/>
    <cellStyle name="쉼표 [0] 5 2" xfId="37" xr:uid="{E9BF10B5-0555-4E76-A354-2F2D2BB5935D}"/>
    <cellStyle name="쉼표 [0]_내역서(표준단가)_1" xfId="30" xr:uid="{9D453929-C6D1-4E01-9886-F23DB0E907A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EB1090DE-1788-41BA-B056-3DC6957B3FC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029D79DB-F7BA-4CC4-9CD0-2C25662F80E5}"/>
    <cellStyle name="표준_P456 공장 및 복지동 전면 유리창 청소건 라상혁님_1129(최종)" xfId="34" xr:uid="{22C3BE8C-F9A4-46CF-B624-F03C333776FD}"/>
    <cellStyle name="표준_S&amp;D_MAIN VALVE_최빈_2" xfId="31" xr:uid="{90A1075E-BE3B-435E-9C32-EA68DF0A0AE7}"/>
    <cellStyle name="표준_내역서(표준단가)" xfId="29" xr:uid="{44D66A8C-747D-4F18-8400-384A8DEA22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8A44C95-8C8F-4A39-BD66-7079C8C00B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9FA2-E552-4128-AF3B-6CA8EA67950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13" t="s">
        <v>44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</row>
    <row r="4" spans="1:15" ht="16.5" customHeight="1">
      <c r="A4" s="63" t="s">
        <v>45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109</v>
      </c>
      <c r="C5" s="124"/>
      <c r="D5" s="124"/>
      <c r="E5" s="124"/>
      <c r="F5" s="124"/>
      <c r="G5" s="125"/>
      <c r="H5" s="125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6" t="s">
        <v>46</v>
      </c>
      <c r="B7" s="217"/>
      <c r="C7" s="218"/>
      <c r="D7" s="126">
        <v>2025</v>
      </c>
      <c r="E7" s="76" t="s">
        <v>47</v>
      </c>
      <c r="F7" s="127">
        <v>8</v>
      </c>
      <c r="G7" s="76" t="s">
        <v>48</v>
      </c>
      <c r="H7" s="127">
        <v>25</v>
      </c>
      <c r="I7" s="76" t="s">
        <v>49</v>
      </c>
      <c r="J7" s="77"/>
      <c r="K7" s="219" t="s">
        <v>50</v>
      </c>
      <c r="L7" s="78" t="s">
        <v>51</v>
      </c>
      <c r="M7" s="78" t="s">
        <v>52</v>
      </c>
      <c r="N7" s="78" t="s">
        <v>53</v>
      </c>
      <c r="O7" s="79" t="s">
        <v>54</v>
      </c>
    </row>
    <row r="8" spans="1:15" ht="23.25" customHeight="1">
      <c r="A8" s="222" t="s">
        <v>55</v>
      </c>
      <c r="B8" s="223"/>
      <c r="C8" s="224"/>
      <c r="D8" s="225" t="s">
        <v>56</v>
      </c>
      <c r="E8" s="226"/>
      <c r="F8" s="226"/>
      <c r="G8" s="227"/>
      <c r="H8" s="228" t="s">
        <v>57</v>
      </c>
      <c r="I8" s="226"/>
      <c r="J8" s="229"/>
      <c r="K8" s="220"/>
      <c r="L8" s="80" t="s">
        <v>58</v>
      </c>
      <c r="M8" s="80" t="s">
        <v>59</v>
      </c>
      <c r="N8" s="80" t="s">
        <v>60</v>
      </c>
      <c r="O8" s="81" t="s">
        <v>61</v>
      </c>
    </row>
    <row r="9" spans="1:15" ht="23.25" customHeight="1">
      <c r="A9" s="222" t="s">
        <v>62</v>
      </c>
      <c r="B9" s="223"/>
      <c r="C9" s="224"/>
      <c r="D9" s="230" t="s">
        <v>63</v>
      </c>
      <c r="E9" s="231"/>
      <c r="F9" s="231"/>
      <c r="G9" s="231"/>
      <c r="H9" s="231"/>
      <c r="I9" s="231"/>
      <c r="J9" s="232"/>
      <c r="K9" s="220"/>
      <c r="L9" s="80" t="s">
        <v>64</v>
      </c>
      <c r="M9" s="233" t="s">
        <v>65</v>
      </c>
      <c r="N9" s="223"/>
      <c r="O9" s="224"/>
    </row>
    <row r="10" spans="1:15" ht="23.25" customHeight="1" thickBot="1">
      <c r="A10" s="234" t="s">
        <v>66</v>
      </c>
      <c r="B10" s="235"/>
      <c r="C10" s="236"/>
      <c r="D10" s="237" t="s">
        <v>67</v>
      </c>
      <c r="E10" s="238"/>
      <c r="F10" s="238"/>
      <c r="G10" s="238"/>
      <c r="H10" s="238"/>
      <c r="I10" s="238"/>
      <c r="J10" s="239"/>
      <c r="K10" s="221"/>
      <c r="L10" s="82" t="s">
        <v>68</v>
      </c>
      <c r="M10" s="82" t="s">
        <v>69</v>
      </c>
      <c r="N10" s="82" t="s">
        <v>70</v>
      </c>
      <c r="O10" s="83" t="s">
        <v>71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9" t="s">
        <v>108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91" t="s">
        <v>72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92" t="str">
        <f>"견 적 금 액 : 一金"&amp;NUMBERSTRING(M32,1) &amp; "원정""(\"&amp; TEXT(M32,"#,###")&amp;"원) [VAT 별도]"</f>
        <v>견 적 금 액 : 一金사십오만사백이십오원정"(\450,425원)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94"/>
      <c r="L16" s="194"/>
      <c r="M16" s="194"/>
      <c r="N16" s="194"/>
      <c r="O16" s="195"/>
    </row>
    <row r="17" spans="1:17" ht="27.75" customHeight="1" thickBot="1">
      <c r="A17" s="92" t="s">
        <v>73</v>
      </c>
      <c r="B17" s="202" t="s">
        <v>74</v>
      </c>
      <c r="C17" s="203"/>
      <c r="D17" s="203"/>
      <c r="E17" s="203"/>
      <c r="F17" s="203"/>
      <c r="G17" s="204"/>
      <c r="H17" s="93" t="s">
        <v>75</v>
      </c>
      <c r="I17" s="94" t="s">
        <v>76</v>
      </c>
      <c r="J17" s="205" t="s">
        <v>77</v>
      </c>
      <c r="K17" s="206"/>
      <c r="L17" s="206"/>
      <c r="M17" s="207"/>
      <c r="N17" s="202" t="s">
        <v>78</v>
      </c>
      <c r="O17" s="208"/>
    </row>
    <row r="18" spans="1:17" ht="28.5" customHeight="1">
      <c r="A18" s="95">
        <v>1</v>
      </c>
      <c r="B18" s="196" t="s">
        <v>12</v>
      </c>
      <c r="C18" s="197"/>
      <c r="D18" s="197"/>
      <c r="E18" s="197"/>
      <c r="F18" s="197"/>
      <c r="G18" s="198"/>
      <c r="H18" s="128">
        <v>1</v>
      </c>
      <c r="I18" s="129" t="s">
        <v>6</v>
      </c>
      <c r="J18" s="199">
        <f>IFERROR(LOOKUP(2, 1/(TRIM('내역서(표준단가)'!O4:O100)&lt;&gt;""), '내역서(표준단가)'!O4:O100), "-")</f>
        <v>61456</v>
      </c>
      <c r="K18" s="199"/>
      <c r="L18" s="199"/>
      <c r="M18" s="199"/>
      <c r="N18" s="200"/>
      <c r="O18" s="201"/>
    </row>
    <row r="19" spans="1:17" ht="28.5" customHeight="1">
      <c r="A19" s="96">
        <v>2</v>
      </c>
      <c r="B19" s="176" t="s">
        <v>13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1/(TRIM('내역서(표준단가)'!Q4:Q100)&lt;&gt;""), '내역서(표준단가)'!Q4:Q100), "-")</f>
        <v>291653.94910099998</v>
      </c>
      <c r="K19" s="180"/>
      <c r="L19" s="180"/>
      <c r="M19" s="181"/>
      <c r="N19" s="182"/>
      <c r="O19" s="183"/>
    </row>
    <row r="20" spans="1:17" ht="28.5" customHeight="1">
      <c r="A20" s="96">
        <v>3</v>
      </c>
      <c r="B20" s="184" t="s">
        <v>79</v>
      </c>
      <c r="C20" s="185"/>
      <c r="D20" s="185"/>
      <c r="E20" s="185"/>
      <c r="F20" s="185"/>
      <c r="G20" s="186"/>
      <c r="H20" s="97">
        <v>1</v>
      </c>
      <c r="I20" s="97" t="s">
        <v>6</v>
      </c>
      <c r="J20" s="187">
        <f>IFERROR(SUM(J21:M29),"-")</f>
        <v>49112.782754316388</v>
      </c>
      <c r="K20" s="188"/>
      <c r="L20" s="188"/>
      <c r="M20" s="189"/>
      <c r="N20" s="190"/>
      <c r="O20" s="191"/>
      <c r="P20" s="98"/>
    </row>
    <row r="21" spans="1:17" ht="28.5" customHeight="1">
      <c r="A21" s="95"/>
      <c r="B21" s="99"/>
      <c r="C21" s="168" t="s">
        <v>80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2"/>
      <c r="L21" s="172"/>
      <c r="M21" s="173"/>
      <c r="N21" s="174" t="s">
        <v>81</v>
      </c>
      <c r="O21" s="175"/>
    </row>
    <row r="22" spans="1:17" ht="28.5" customHeight="1">
      <c r="A22" s="95"/>
      <c r="B22" s="99"/>
      <c r="C22" s="162" t="s">
        <v>82</v>
      </c>
      <c r="D22" s="163"/>
      <c r="E22" s="163"/>
      <c r="F22" s="163"/>
      <c r="G22" s="164"/>
      <c r="H22" s="100">
        <v>3.11</v>
      </c>
      <c r="I22" s="100" t="s">
        <v>83</v>
      </c>
      <c r="J22" s="165">
        <f>IFERROR((J18+J19)*H22%,"-")</f>
        <v>10981.719417041098</v>
      </c>
      <c r="K22" s="166"/>
      <c r="L22" s="166"/>
      <c r="M22" s="167"/>
      <c r="N22" s="158" t="s">
        <v>84</v>
      </c>
      <c r="O22" s="159"/>
    </row>
    <row r="23" spans="1:17" ht="28.5" customHeight="1">
      <c r="A23" s="95"/>
      <c r="B23" s="99"/>
      <c r="C23" s="162" t="s">
        <v>85</v>
      </c>
      <c r="D23" s="163"/>
      <c r="E23" s="163"/>
      <c r="F23" s="163"/>
      <c r="G23" s="164"/>
      <c r="H23" s="100">
        <v>3.56</v>
      </c>
      <c r="I23" s="100" t="s">
        <v>86</v>
      </c>
      <c r="J23" s="165">
        <f>IFERROR(J19*H23%,"-")</f>
        <v>10382.8805879956</v>
      </c>
      <c r="K23" s="166"/>
      <c r="L23" s="166"/>
      <c r="M23" s="167"/>
      <c r="N23" s="158" t="s">
        <v>87</v>
      </c>
      <c r="O23" s="159"/>
    </row>
    <row r="24" spans="1:17" ht="28.5" customHeight="1">
      <c r="A24" s="95"/>
      <c r="B24" s="99"/>
      <c r="C24" s="162" t="s">
        <v>88</v>
      </c>
      <c r="D24" s="163"/>
      <c r="E24" s="163"/>
      <c r="F24" s="163"/>
      <c r="G24" s="164"/>
      <c r="H24" s="100">
        <v>1.01</v>
      </c>
      <c r="I24" s="100" t="s">
        <v>86</v>
      </c>
      <c r="J24" s="165">
        <f>IFERROR(J19*H24%,"-")</f>
        <v>2945.7048859200995</v>
      </c>
      <c r="K24" s="166"/>
      <c r="L24" s="166"/>
      <c r="M24" s="167"/>
      <c r="N24" s="158" t="s">
        <v>89</v>
      </c>
      <c r="O24" s="159"/>
    </row>
    <row r="25" spans="1:17" ht="28.5" customHeight="1">
      <c r="A25" s="95"/>
      <c r="B25" s="99"/>
      <c r="C25" s="162" t="s">
        <v>90</v>
      </c>
      <c r="D25" s="163"/>
      <c r="E25" s="163"/>
      <c r="F25" s="163"/>
      <c r="G25" s="164"/>
      <c r="H25" s="101">
        <v>3.5449999999999999</v>
      </c>
      <c r="I25" s="100" t="s">
        <v>86</v>
      </c>
      <c r="J25" s="165">
        <f>IFERROR(J19*H25%,"-")</f>
        <v>10339.132495630451</v>
      </c>
      <c r="K25" s="166"/>
      <c r="L25" s="166"/>
      <c r="M25" s="167"/>
      <c r="N25" s="158" t="s">
        <v>91</v>
      </c>
      <c r="O25" s="159"/>
      <c r="Q25" s="98"/>
    </row>
    <row r="26" spans="1:17" ht="28.5" customHeight="1">
      <c r="A26" s="95"/>
      <c r="B26" s="99"/>
      <c r="C26" s="162" t="s">
        <v>92</v>
      </c>
      <c r="D26" s="163"/>
      <c r="E26" s="163"/>
      <c r="F26" s="163"/>
      <c r="G26" s="164"/>
      <c r="H26" s="100">
        <v>4.5</v>
      </c>
      <c r="I26" s="100" t="s">
        <v>86</v>
      </c>
      <c r="J26" s="165">
        <f>IFERROR(J19*H26%,"-")</f>
        <v>13124.427709544998</v>
      </c>
      <c r="K26" s="166"/>
      <c r="L26" s="166"/>
      <c r="M26" s="167"/>
      <c r="N26" s="158" t="s">
        <v>93</v>
      </c>
      <c r="O26" s="159"/>
      <c r="Q26" s="102"/>
    </row>
    <row r="27" spans="1:17" ht="28.5" customHeight="1">
      <c r="A27" s="95"/>
      <c r="B27" s="99"/>
      <c r="C27" s="152" t="s">
        <v>94</v>
      </c>
      <c r="D27" s="153"/>
      <c r="E27" s="153"/>
      <c r="F27" s="153"/>
      <c r="G27" s="154"/>
      <c r="H27" s="103">
        <v>12.95</v>
      </c>
      <c r="I27" s="104" t="s">
        <v>86</v>
      </c>
      <c r="J27" s="155">
        <f>IFERROR($H$27*J25%,"-")</f>
        <v>1338.9176581841432</v>
      </c>
      <c r="K27" s="156"/>
      <c r="L27" s="156"/>
      <c r="M27" s="157"/>
      <c r="N27" s="158" t="s">
        <v>95</v>
      </c>
      <c r="O27" s="159"/>
    </row>
    <row r="28" spans="1:17" ht="28.5" customHeight="1">
      <c r="A28" s="95"/>
      <c r="B28" s="99"/>
      <c r="C28" s="152" t="s">
        <v>96</v>
      </c>
      <c r="D28" s="153"/>
      <c r="E28" s="153"/>
      <c r="F28" s="153"/>
      <c r="G28" s="154"/>
      <c r="H28" s="103">
        <v>8.1000000000000003E-2</v>
      </c>
      <c r="I28" s="104" t="s">
        <v>86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97</v>
      </c>
      <c r="O28" s="161"/>
    </row>
    <row r="29" spans="1:17" ht="28.5" customHeight="1">
      <c r="A29" s="105"/>
      <c r="B29" s="106"/>
      <c r="C29" s="132" t="s">
        <v>98</v>
      </c>
      <c r="D29" s="133"/>
      <c r="E29" s="133"/>
      <c r="F29" s="133"/>
      <c r="G29" s="134"/>
      <c r="H29" s="107">
        <v>1</v>
      </c>
      <c r="I29" s="108" t="s">
        <v>99</v>
      </c>
      <c r="J29" s="135">
        <f>34*0</f>
        <v>0</v>
      </c>
      <c r="K29" s="136"/>
      <c r="L29" s="136"/>
      <c r="M29" s="137"/>
      <c r="N29" s="138" t="s">
        <v>100</v>
      </c>
      <c r="O29" s="139"/>
    </row>
    <row r="30" spans="1:17" ht="28.5" customHeight="1">
      <c r="A30" s="105">
        <v>4</v>
      </c>
      <c r="B30" s="106"/>
      <c r="C30" s="132" t="s">
        <v>101</v>
      </c>
      <c r="D30" s="133"/>
      <c r="E30" s="133"/>
      <c r="F30" s="133"/>
      <c r="G30" s="134"/>
      <c r="H30" s="108">
        <v>5</v>
      </c>
      <c r="I30" s="109" t="s">
        <v>102</v>
      </c>
      <c r="J30" s="145">
        <f>IFERROR(IF(ISNUMBER(H30), SUM(J18:M20) * (H30 / 100), "-"), "-")</f>
        <v>20111.136592765819</v>
      </c>
      <c r="K30" s="146"/>
      <c r="L30" s="146"/>
      <c r="M30" s="147"/>
      <c r="N30" s="148" t="s">
        <v>103</v>
      </c>
      <c r="O30" s="149"/>
    </row>
    <row r="31" spans="1:17" ht="28.5" customHeight="1" thickBot="1">
      <c r="A31" s="105">
        <v>5</v>
      </c>
      <c r="B31" s="106"/>
      <c r="C31" s="132" t="s">
        <v>104</v>
      </c>
      <c r="D31" s="133"/>
      <c r="E31" s="133"/>
      <c r="F31" s="133"/>
      <c r="G31" s="134"/>
      <c r="H31" s="108">
        <v>7.5</v>
      </c>
      <c r="I31" s="109" t="s">
        <v>86</v>
      </c>
      <c r="J31" s="135">
        <f>IFERROR(SUM(J18:M20, J30) * (H31 / 100), "-")+450425+-454008</f>
        <v>28092.040133606177</v>
      </c>
      <c r="K31" s="136"/>
      <c r="L31" s="136"/>
      <c r="M31" s="137"/>
      <c r="N31" s="150" t="s">
        <v>105</v>
      </c>
      <c r="O31" s="151"/>
      <c r="Q31" s="110"/>
    </row>
    <row r="32" spans="1:17" ht="28.5" customHeight="1" thickBot="1">
      <c r="A32" s="140" t="s">
        <v>106</v>
      </c>
      <c r="B32" s="141"/>
      <c r="C32" s="141"/>
      <c r="D32" s="141"/>
      <c r="E32" s="141"/>
      <c r="F32" s="141"/>
      <c r="G32" s="141"/>
      <c r="H32" s="141"/>
      <c r="I32" s="142"/>
      <c r="J32" s="111"/>
      <c r="K32" s="112"/>
      <c r="L32" s="112"/>
      <c r="M32" s="113">
        <f>IFERROR(ROUNDDOWN(SUM(J18:M20)+J30+J31,0),"-")</f>
        <v>450425</v>
      </c>
      <c r="N32" s="143"/>
      <c r="O32" s="144"/>
      <c r="P32" s="114"/>
    </row>
    <row r="33" spans="1:15">
      <c r="A33" s="115" t="s">
        <v>107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/>
  <cols>
    <col min="1" max="1" width="22.625" style="41" bestFit="1" customWidth="1"/>
    <col min="2" max="5" width="18.5" style="41" hidden="1" customWidth="1"/>
    <col min="6" max="6" width="17.25" style="32" customWidth="1"/>
    <col min="7" max="7" width="13.75" style="32" customWidth="1"/>
    <col min="8" max="8" width="16.625" style="32" customWidth="1"/>
    <col min="9" max="9" width="10.125" style="32" customWidth="1"/>
    <col min="10" max="10" width="37.375" style="28" customWidth="1"/>
    <col min="11" max="11" width="30.625" style="28" customWidth="1"/>
    <col min="12" max="12" width="12" style="32" bestFit="1" customWidth="1"/>
    <col min="13" max="13" width="10" style="32" bestFit="1" customWidth="1"/>
    <col min="14" max="14" width="10.25" style="32" bestFit="1" customWidth="1"/>
    <col min="15" max="15" width="13.25" style="32" bestFit="1" customWidth="1"/>
    <col min="16" max="16" width="9.75" style="32" customWidth="1"/>
    <col min="17" max="17" width="15.625" style="32" bestFit="1" customWidth="1"/>
    <col min="18" max="18" width="8.125" style="32" customWidth="1"/>
    <col min="19" max="19" width="8.75" style="32" bestFit="1" customWidth="1"/>
    <col min="20" max="20" width="9" style="32" customWidth="1"/>
    <col min="21" max="21" width="8.75" style="32" bestFit="1" customWidth="1"/>
    <col min="22" max="22" width="15.5" style="32" bestFit="1" customWidth="1"/>
    <col min="23" max="23" width="10.625" style="2" bestFit="1" customWidth="1"/>
    <col min="24" max="24" width="8.5" style="32" bestFit="1" customWidth="1"/>
    <col min="25" max="16384" width="9" style="32"/>
  </cols>
  <sheetData>
    <row r="1" spans="1:24" ht="19.899999999999999" customHeight="1">
      <c r="A1" s="240"/>
      <c r="B1" s="240"/>
      <c r="C1" s="240"/>
      <c r="D1" s="240"/>
      <c r="E1" s="240"/>
      <c r="F1" s="240"/>
      <c r="G1" s="240"/>
      <c r="H1" s="240"/>
      <c r="I1" s="240"/>
      <c r="N1" s="2"/>
      <c r="O1" s="31" t="s">
        <v>9</v>
      </c>
      <c r="Q1" s="31" t="s">
        <v>9</v>
      </c>
      <c r="S1" s="31" t="s">
        <v>9</v>
      </c>
      <c r="U1" s="31" t="s">
        <v>9</v>
      </c>
    </row>
    <row r="2" spans="1:24" ht="19.899999999999999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33"/>
      <c r="B3" s="33"/>
      <c r="C3" s="33"/>
      <c r="D3" s="33"/>
      <c r="E3" s="33"/>
      <c r="F3" s="33" t="s">
        <v>10</v>
      </c>
      <c r="G3" s="34"/>
      <c r="H3" s="34"/>
      <c r="I3" s="34"/>
      <c r="J3" s="251" t="s">
        <v>11</v>
      </c>
      <c r="K3" s="251"/>
      <c r="L3" s="249" t="s">
        <v>8</v>
      </c>
      <c r="M3" s="249" t="s">
        <v>5</v>
      </c>
      <c r="N3" s="245" t="s">
        <v>12</v>
      </c>
      <c r="O3" s="245"/>
      <c r="P3" s="245" t="s">
        <v>13</v>
      </c>
      <c r="Q3" s="245"/>
      <c r="R3" s="246" t="s">
        <v>14</v>
      </c>
      <c r="S3" s="246"/>
      <c r="T3" s="246" t="s">
        <v>15</v>
      </c>
      <c r="U3" s="246"/>
      <c r="V3" s="247" t="s">
        <v>16</v>
      </c>
      <c r="W3" s="243" t="s">
        <v>17</v>
      </c>
      <c r="X3" s="241" t="s">
        <v>7</v>
      </c>
    </row>
    <row r="4" spans="1:24" ht="19.899999999999999" customHeight="1">
      <c r="A4" s="5" t="s">
        <v>18</v>
      </c>
      <c r="B4" s="6"/>
      <c r="C4" s="6"/>
      <c r="D4" s="6"/>
      <c r="E4" s="6"/>
      <c r="F4" s="7" t="s">
        <v>19</v>
      </c>
      <c r="G4" s="7" t="s">
        <v>20</v>
      </c>
      <c r="H4" s="7" t="s">
        <v>21</v>
      </c>
      <c r="I4" s="7" t="s">
        <v>22</v>
      </c>
      <c r="J4" s="29" t="s">
        <v>23</v>
      </c>
      <c r="K4" s="29" t="s">
        <v>24</v>
      </c>
      <c r="L4" s="250"/>
      <c r="M4" s="250"/>
      <c r="N4" s="8" t="s">
        <v>25</v>
      </c>
      <c r="O4" s="9" t="s">
        <v>26</v>
      </c>
      <c r="P4" s="8" t="s">
        <v>27</v>
      </c>
      <c r="Q4" s="9" t="s">
        <v>26</v>
      </c>
      <c r="R4" s="9" t="s">
        <v>28</v>
      </c>
      <c r="S4" s="9" t="s">
        <v>26</v>
      </c>
      <c r="T4" s="9" t="s">
        <v>28</v>
      </c>
      <c r="U4" s="9" t="s">
        <v>26</v>
      </c>
      <c r="V4" s="248"/>
      <c r="W4" s="244"/>
      <c r="X4" s="242"/>
    </row>
    <row r="5" spans="1:24" s="35" customFormat="1" ht="38.1" customHeight="1">
      <c r="A5" s="10" t="str">
        <f t="shared" ref="A5" si="0">F5&amp;G5&amp;H5&amp;I5</f>
        <v>M020750510120102</v>
      </c>
      <c r="B5" s="17"/>
      <c r="C5" s="17"/>
      <c r="D5" s="17"/>
      <c r="E5" s="17"/>
      <c r="F5" s="43"/>
      <c r="G5" s="44"/>
      <c r="H5" s="45" t="s">
        <v>32</v>
      </c>
      <c r="I5" s="44"/>
      <c r="J5" s="46" t="s">
        <v>37</v>
      </c>
      <c r="K5" s="46" t="s">
        <v>33</v>
      </c>
      <c r="L5" s="47" t="s">
        <v>29</v>
      </c>
      <c r="M5" s="48">
        <v>4</v>
      </c>
      <c r="N5" s="49">
        <v>6400</v>
      </c>
      <c r="O5" s="25">
        <f t="shared" ref="O5" si="1">SUM(N5:N5)*M5*$O$2</f>
        <v>21376</v>
      </c>
      <c r="P5" s="24"/>
      <c r="Q5" s="25">
        <f t="shared" ref="Q5" si="2">(P5*M5)*$Q$2</f>
        <v>0</v>
      </c>
      <c r="R5" s="27"/>
      <c r="S5" s="25">
        <f t="shared" ref="S5" si="3">R5*M5*$S$2</f>
        <v>0</v>
      </c>
      <c r="T5" s="27"/>
      <c r="U5" s="25">
        <f t="shared" ref="U5" si="4">T5*M5*$U$2</f>
        <v>0</v>
      </c>
      <c r="V5" s="20">
        <f t="shared" ref="V5" si="5">SUM(O5+Q5)+S5+U5</f>
        <v>21376</v>
      </c>
      <c r="W5" s="21"/>
      <c r="X5" s="19"/>
    </row>
    <row r="6" spans="1:24" s="35" customFormat="1" ht="38.1" customHeight="1">
      <c r="A6" s="10" t="str">
        <f t="shared" ref="A6:A8" si="6">F6&amp;G6&amp;H6&amp;I6</f>
        <v>M020750510130104</v>
      </c>
      <c r="B6" s="17"/>
      <c r="C6" s="17"/>
      <c r="D6" s="17"/>
      <c r="E6" s="17"/>
      <c r="F6" s="43"/>
      <c r="G6" s="44"/>
      <c r="H6" s="45" t="s">
        <v>38</v>
      </c>
      <c r="I6" s="44"/>
      <c r="J6" s="46" t="s">
        <v>39</v>
      </c>
      <c r="K6" s="46" t="s">
        <v>40</v>
      </c>
      <c r="L6" s="47" t="s">
        <v>29</v>
      </c>
      <c r="M6" s="48">
        <v>4</v>
      </c>
      <c r="N6" s="49">
        <v>12000</v>
      </c>
      <c r="O6" s="25">
        <f t="shared" ref="O6:O8" si="7">SUM(N6:N6)*M6*$O$2</f>
        <v>40080</v>
      </c>
      <c r="P6" s="24"/>
      <c r="Q6" s="25">
        <f t="shared" ref="Q6:Q7" si="8">(P6*M6)*$Q$2</f>
        <v>0</v>
      </c>
      <c r="R6" s="27"/>
      <c r="S6" s="25">
        <f t="shared" ref="S6:S8" si="9">R6*M6*$S$2</f>
        <v>0</v>
      </c>
      <c r="T6" s="27"/>
      <c r="U6" s="25">
        <f t="shared" ref="U6:U8" si="10">T6*M6*$U$2</f>
        <v>0</v>
      </c>
      <c r="V6" s="11">
        <f t="shared" ref="V6:V8" si="11">SUM(O6+Q6)+S6+U6</f>
        <v>40080</v>
      </c>
      <c r="W6" s="21"/>
      <c r="X6" s="12"/>
    </row>
    <row r="7" spans="1:24" s="35" customFormat="1" ht="38.1" customHeight="1">
      <c r="A7" s="10" t="str">
        <f t="shared" si="6"/>
        <v>E00000803066470202</v>
      </c>
      <c r="B7" s="17"/>
      <c r="C7" s="17"/>
      <c r="D7" s="17"/>
      <c r="E7" s="17"/>
      <c r="F7" s="50"/>
      <c r="G7" s="45" t="s">
        <v>41</v>
      </c>
      <c r="H7" s="51"/>
      <c r="I7" s="50"/>
      <c r="J7" s="46" t="s">
        <v>30</v>
      </c>
      <c r="K7" s="52" t="s">
        <v>42</v>
      </c>
      <c r="L7" s="53" t="s">
        <v>31</v>
      </c>
      <c r="M7" s="48">
        <v>0.2286</v>
      </c>
      <c r="N7" s="54"/>
      <c r="O7" s="25">
        <f t="shared" si="7"/>
        <v>0</v>
      </c>
      <c r="P7" s="26">
        <v>652621</v>
      </c>
      <c r="Q7" s="25">
        <f t="shared" si="8"/>
        <v>124572.94910099999</v>
      </c>
      <c r="R7" s="27"/>
      <c r="S7" s="25">
        <f t="shared" si="9"/>
        <v>0</v>
      </c>
      <c r="T7" s="27"/>
      <c r="U7" s="25">
        <f t="shared" si="10"/>
        <v>0</v>
      </c>
      <c r="V7" s="18">
        <f t="shared" si="11"/>
        <v>124572.94910099999</v>
      </c>
      <c r="W7" s="21"/>
      <c r="X7" s="19"/>
    </row>
    <row r="8" spans="1:24" s="35" customFormat="1" ht="38.1" customHeight="1">
      <c r="A8" s="10" t="str">
        <f t="shared" si="6"/>
        <v>L002</v>
      </c>
      <c r="B8" s="17"/>
      <c r="C8" s="17"/>
      <c r="D8" s="17"/>
      <c r="E8" s="17"/>
      <c r="F8" s="50"/>
      <c r="G8" s="55"/>
      <c r="H8" s="56"/>
      <c r="I8" s="50" t="s">
        <v>35</v>
      </c>
      <c r="J8" s="57" t="s">
        <v>43</v>
      </c>
      <c r="K8" s="58" t="s">
        <v>36</v>
      </c>
      <c r="L8" s="53" t="s">
        <v>34</v>
      </c>
      <c r="M8" s="48">
        <v>1</v>
      </c>
      <c r="N8" s="54"/>
      <c r="O8" s="25">
        <f t="shared" si="7"/>
        <v>0</v>
      </c>
      <c r="P8" s="26">
        <v>167081</v>
      </c>
      <c r="Q8" s="25">
        <f>M8*P8</f>
        <v>167081</v>
      </c>
      <c r="R8" s="27"/>
      <c r="S8" s="25">
        <f t="shared" si="9"/>
        <v>0</v>
      </c>
      <c r="T8" s="27"/>
      <c r="U8" s="25">
        <f t="shared" si="10"/>
        <v>0</v>
      </c>
      <c r="V8" s="18">
        <f t="shared" si="11"/>
        <v>167081</v>
      </c>
      <c r="W8" s="21"/>
      <c r="X8" s="19"/>
    </row>
    <row r="9" spans="1:24" s="37" customFormat="1" ht="38.1" customHeight="1">
      <c r="A9" s="36"/>
      <c r="B9" s="36"/>
      <c r="C9" s="36"/>
      <c r="D9" s="36"/>
      <c r="E9" s="36"/>
      <c r="J9" s="30"/>
      <c r="K9" s="30"/>
      <c r="O9" s="38">
        <f>SUM(O5:O8)</f>
        <v>61456</v>
      </c>
      <c r="P9" s="39"/>
      <c r="Q9" s="38">
        <f>SUM(Q5:Q8)</f>
        <v>291653.94910099998</v>
      </c>
      <c r="R9" s="39"/>
      <c r="S9" s="38">
        <f>SUM(S5:S8)</f>
        <v>0</v>
      </c>
      <c r="T9" s="39"/>
      <c r="U9" s="38">
        <f>SUM(U5:U8)</f>
        <v>0</v>
      </c>
      <c r="V9" s="40">
        <f>SUM(V5:V8)</f>
        <v>353109.94910099998</v>
      </c>
      <c r="W9" s="13"/>
    </row>
    <row r="13" spans="1:24" ht="38.1" customHeight="1">
      <c r="Q13" s="4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I31" sqref="I31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3"/>
  </cols>
  <sheetData>
    <row r="1" spans="1:6" ht="18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5" t="str">
        <f>'내역서(표준단가)'!A5</f>
        <v>M020750510120102</v>
      </c>
      <c r="B2" s="16">
        <f>'내역서(표준단가)'!F5</f>
        <v>0</v>
      </c>
      <c r="C2" s="16">
        <f>'내역서(표준단가)'!G5</f>
        <v>0</v>
      </c>
      <c r="D2" s="16" t="str">
        <f>'내역서(표준단가)'!H5</f>
        <v>M020750510120102</v>
      </c>
      <c r="E2" s="16">
        <f>'내역서(표준단가)'!I5</f>
        <v>0</v>
      </c>
      <c r="F2" s="22">
        <f>'내역서(표준단가)'!M5</f>
        <v>4</v>
      </c>
    </row>
    <row r="3" spans="1:6">
      <c r="A3" s="15" t="str">
        <f>'내역서(표준단가)'!A6</f>
        <v>M020750510130104</v>
      </c>
      <c r="B3" s="16">
        <f>'내역서(표준단가)'!F6</f>
        <v>0</v>
      </c>
      <c r="C3" s="16">
        <f>'내역서(표준단가)'!G6</f>
        <v>0</v>
      </c>
      <c r="D3" s="16" t="str">
        <f>'내역서(표준단가)'!H6</f>
        <v>M020750510130104</v>
      </c>
      <c r="E3" s="16">
        <f>'내역서(표준단가)'!I6</f>
        <v>0</v>
      </c>
      <c r="F3" s="22">
        <f>'내역서(표준단가)'!M6</f>
        <v>4</v>
      </c>
    </row>
    <row r="4" spans="1:6">
      <c r="A4" s="15" t="str">
        <f>'내역서(표준단가)'!A7</f>
        <v>E00000803066470202</v>
      </c>
      <c r="B4" s="16">
        <f>'내역서(표준단가)'!F7</f>
        <v>0</v>
      </c>
      <c r="C4" s="16" t="str">
        <f>'내역서(표준단가)'!G7</f>
        <v>E00000803066470202</v>
      </c>
      <c r="D4" s="16">
        <f>'내역서(표준단가)'!H7</f>
        <v>0</v>
      </c>
      <c r="E4" s="16">
        <f>'내역서(표준단가)'!I7</f>
        <v>0</v>
      </c>
      <c r="F4" s="22">
        <f>'내역서(표준단가)'!M7</f>
        <v>0.2286</v>
      </c>
    </row>
    <row r="5" spans="1:6">
      <c r="A5" s="15" t="str">
        <f>'내역서(표준단가)'!A8</f>
        <v>L002</v>
      </c>
      <c r="B5" s="16">
        <f>'내역서(표준단가)'!F8</f>
        <v>0</v>
      </c>
      <c r="C5" s="16">
        <f>'내역서(표준단가)'!G8</f>
        <v>0</v>
      </c>
      <c r="D5" s="16">
        <f>'내역서(표준단가)'!H8</f>
        <v>0</v>
      </c>
      <c r="E5" s="16" t="str">
        <f>'내역서(표준단가)'!I8</f>
        <v>L002</v>
      </c>
      <c r="F5" s="22">
        <f>'내역서(표준단가)'!M8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2025-08-25T03:19:04Z</dcterms:modified>
</cp:coreProperties>
</file>
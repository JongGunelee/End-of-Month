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1\06 작업폴더\01 사택 102-506 수장공사\01 자료\"/>
    </mc:Choice>
  </mc:AlternateContent>
  <xr:revisionPtr revIDLastSave="0" documentId="13_ncr:1_{1C720636-D9A8-4E03-B386-5F0CB0FAB4FE}" xr6:coauthVersionLast="47" xr6:coauthVersionMax="47" xr10:uidLastSave="{00000000-0000-0000-0000-000000000000}"/>
  <bookViews>
    <workbookView xWindow="1950" yWindow="0" windowWidth="14490" windowHeight="1624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A4" i="10"/>
  <c r="F3" i="10"/>
  <c r="E3" i="10"/>
  <c r="D3" i="10"/>
  <c r="C3" i="10"/>
  <c r="B3" i="10"/>
  <c r="A7" i="4"/>
  <c r="O7" i="4"/>
  <c r="Q7" i="4"/>
  <c r="S7" i="4"/>
  <c r="U7" i="4"/>
  <c r="A8" i="4"/>
  <c r="A5" i="10" s="1"/>
  <c r="O8" i="4"/>
  <c r="Q8" i="4"/>
  <c r="V8" i="4" s="1"/>
  <c r="S8" i="4"/>
  <c r="U8" i="4"/>
  <c r="D13" i="9"/>
  <c r="J24" i="12" l="1"/>
  <c r="J23" i="12"/>
  <c r="J26" i="12"/>
  <c r="J25" i="12"/>
  <c r="J27" i="12" s="1"/>
  <c r="J22" i="12"/>
  <c r="V7" i="4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6" i="4"/>
  <c r="S6" i="4"/>
  <c r="Q6" i="4"/>
  <c r="O6" i="4"/>
  <c r="A6" i="4"/>
  <c r="A3" i="10" s="1"/>
  <c r="V6" i="4" l="1"/>
  <c r="V12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U11" i="4" l="1"/>
  <c r="S11" i="4"/>
  <c r="Q11" i="4"/>
  <c r="O11" i="4"/>
  <c r="U10" i="4"/>
  <c r="S10" i="4"/>
  <c r="Q10" i="4"/>
  <c r="O10" i="4"/>
  <c r="Q13" i="4" l="1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<sst xmlns="http://schemas.openxmlformats.org/spreadsheetml/2006/main" count="216" uniqueCount="167">
  <si>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</si>
  <si>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</si>
  <si>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</si>
  <si>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</si>
  <si>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</si>
  <si>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</si>
  <si>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</si>
  <si>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</si>
  <si>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</si>
  <si>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</si>
  <si>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</si>
  <si>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</si>
  <si>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</si>
  <si>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</si>
  <si>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</si>
  <si>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</si>
  <si>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</si>
  <si>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</si>
  <si>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</si>
  <si>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</si>
  <si>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</si>
  <si>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</si>
  <si>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</si>
  <si>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</si>
  <si>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</si>
  <si>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</si>
  <si>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</si>
  <si>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</si>
  <si>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</si>
  <si>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</si>
  <si>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</si>
  <si>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</si>
  <si>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</si>
  <si>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</si>
  <si>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</si>
  <si>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</si>
  <si>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</si>
  <si>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</si>
  <si>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</si>
  <si>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</si>
  <si>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</si>
  <si>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</si>
  <si>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</si>
  <si>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</si>
  <si>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</si>
  <si>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</si>
  <si>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</si>
  <si>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</si>
  <si>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</si>
  <si>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</si>
  <si>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</si>
  <si>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</si>
  <si>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</si>
  <si>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</si>
  <si>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</si>
  <si>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</si>
  <si>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</si>
  <si>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</si>
  <si>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</si>
  <si>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</si>
  <si>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</si>
  <si>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</si>
  <si>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</si>
  <si>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</si>
  <si>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</si>
  <si>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</si>
  <si>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</si>
  <si>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</si>
  <si>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</si>
  <si>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</si>
  <si>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</si>
  <si>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</si>
  <si>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</si>
  <si>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</si>
  <si>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</si>
  <si>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</si>
  <si>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</si>
  <si>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</si>
  <si>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</si>
  <si>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</si>
  <si>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</si>
  <si>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</si>
  <si>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</si>
  <si>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</si>
  <si>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</si>
  <si>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</si>
  <si>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</si>
  <si>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</si>
  <si>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</si>
  <si>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</si>
  <si>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</si>
  <si>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</si>
  <si>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</si>
  <si>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</si>
  <si>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</si>
  <si>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</si>
  <si>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</si>
  <si>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</si>
  <si>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</si>
  <si>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102-506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</si>
  <si>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</si>
  <si>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</si>
  <si>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</si>
  <si>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</si>
  <si>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</si>
  <si>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</si>
  <si>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</si>
  <si>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</si>
  <si>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</si>
  <si>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</si>
  <si>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</si>
  <si>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</si>
  <si>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</si>
  <si>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</si>
  <si>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</si>
  <si>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</si>
  <si>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</si>
  <si>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</si>
  <si>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</si>
  <si>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</si>
  <si>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</si>
  <si>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</si>
  <si>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</si>
  <si>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</si>
  <si>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</si>
  <si>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</si>
  <si>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</si>
  <si>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</si>
  <si>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</si>
  <si>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</si>
  <si>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</si>
  <si>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</si>
  <si>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</si>
  <si>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</si>
  <si>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</si>
  <si>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</si>
  <si>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</si>
  <si>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</si>
  <si>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</si>
  <si>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</si>
  <si>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</si>
  <si>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</si>
  <si>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</si>
  <si>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</si>
  <si>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</si>
  <si>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</si>
  <si>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</si>
  <si>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</si>
  <si>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</si>
  <si>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</si>
  <si>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</si>
  <si>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</si>
  <si>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</si>
  <si>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</si>
  <si>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</si>
  <si>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</si>
  <si>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</si>
  <si>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</si>
  <si>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</si>
  <si>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</si>
  <si>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</si>
  <si>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</si>
  <si>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</si>
  <si>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</si>
  <si>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</si>
  <si>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102-506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</si>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</sst>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13" borderId="10" xfId="11" applyNumberFormat="1" applyFont="1" applyFill="1" applyBorder="1" applyAlignment="1">
      <alignment horizontal="center" vertical="center"/>
    </xf>
    <xf numFmtId="176" fontId="22" fillId="13" borderId="10" xfId="11" applyFont="1" applyFill="1" applyBorder="1" applyAlignment="1">
      <alignment horizontal="center" vertical="center"/>
    </xf>
    <xf numFmtId="184" fontId="22" fillId="13" borderId="10" xfId="11" applyNumberFormat="1" applyFont="1" applyFill="1" applyBorder="1" applyAlignment="1">
      <alignment horizontal="center" vertical="center"/>
    </xf>
    <xf numFmtId="181" fontId="22" fillId="13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5" borderId="36" xfId="17" applyFont="1" applyFill="1" applyBorder="1" applyAlignment="1">
      <alignment horizontal="center" vertical="center"/>
    </xf>
    <xf numFmtId="0" fontId="37" fillId="15" borderId="37" xfId="17" applyFont="1" applyFill="1" applyBorder="1" applyAlignment="1">
      <alignment horizontal="center" vertical="center"/>
    </xf>
    <xf numFmtId="3" fontId="37" fillId="15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6" borderId="38" xfId="17" applyNumberFormat="1" applyFont="1" applyFill="1" applyBorder="1" applyAlignment="1">
      <alignment horizontal="right" vertical="center"/>
    </xf>
    <xf numFmtId="0" fontId="41" fillId="16" borderId="38" xfId="17" applyFont="1" applyFill="1" applyBorder="1" applyAlignment="1">
      <alignment horizontal="right" vertical="center"/>
    </xf>
    <xf numFmtId="176" fontId="41" fillId="16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1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192" fontId="36" fillId="14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38" fillId="14" borderId="0" xfId="19" applyFont="1" applyFill="1" applyAlignment="1">
      <alignment horizontal="left" vertical="center"/>
    </xf>
    <xf numFmtId="0" fontId="38" fillId="14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5" borderId="37" xfId="17" applyFont="1" applyFill="1" applyBorder="1" applyAlignment="1">
      <alignment horizontal="center" vertical="center"/>
    </xf>
    <xf numFmtId="0" fontId="37" fillId="15" borderId="38" xfId="17" applyFont="1" applyFill="1" applyBorder="1" applyAlignment="1">
      <alignment horizontal="center" vertical="center"/>
    </xf>
    <xf numFmtId="0" fontId="37" fillId="15" borderId="39" xfId="17" applyFont="1" applyFill="1" applyBorder="1" applyAlignment="1">
      <alignment horizontal="center" vertical="center"/>
    </xf>
    <xf numFmtId="3" fontId="37" fillId="15" borderId="37" xfId="17" applyNumberFormat="1" applyFont="1" applyFill="1" applyBorder="1" applyAlignment="1">
      <alignment horizontal="center" vertical="center"/>
    </xf>
    <xf numFmtId="3" fontId="37" fillId="15" borderId="38" xfId="17" applyNumberFormat="1" applyFont="1" applyFill="1" applyBorder="1" applyAlignment="1">
      <alignment horizontal="center" vertical="center"/>
    </xf>
    <xf numFmtId="3" fontId="37" fillId="15" borderId="39" xfId="17" applyNumberFormat="1" applyFont="1" applyFill="1" applyBorder="1" applyAlignment="1">
      <alignment horizontal="center" vertical="center"/>
    </xf>
    <xf numFmtId="0" fontId="37" fillId="15" borderId="40" xfId="17" applyFont="1" applyFill="1" applyBorder="1" applyAlignment="1">
      <alignment horizontal="center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6" borderId="69" xfId="17" applyFont="1" applyFill="1" applyBorder="1" applyAlignment="1">
      <alignment horizontal="center" vertical="center"/>
    </xf>
    <xf numFmtId="0" fontId="41" fillId="16" borderId="38" xfId="17" applyFont="1" applyFill="1" applyBorder="1" applyAlignment="1">
      <alignment horizontal="center" vertical="center"/>
    </xf>
    <xf numFmtId="0" fontId="41" fillId="16" borderId="70" xfId="17" applyFont="1" applyFill="1" applyBorder="1" applyAlignment="1">
      <alignment horizontal="center" vertical="center"/>
    </xf>
    <xf numFmtId="9" fontId="41" fillId="16" borderId="71" xfId="2" applyFont="1" applyFill="1" applyBorder="1" applyAlignment="1">
      <alignment horizontal="center" vertical="center"/>
    </xf>
    <xf numFmtId="9" fontId="41" fillId="16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4FF1084-0128-4E9D-B02A-8DC00FFB621D}"/>
    <cellStyle name="쉼표 [0] 2 84" xfId="24" xr:uid="{C8E839BA-5544-44F2-8890-A17F036AE2E6}"/>
    <cellStyle name="쉼표 [0] 3" xfId="14" xr:uid="{8F7BE219-40E1-4BBB-A9BD-02188B74B2A3}"/>
    <cellStyle name="쉼표 [0] 4" xfId="21" xr:uid="{F674F3AE-8B30-4B60-8EB5-D3627C0E51E1}"/>
    <cellStyle name="쉼표 [0] 5" xfId="23" xr:uid="{2E594D77-C885-439C-A2A8-7ACCF13522D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B1CDC22-01F6-4CFB-B6E8-495DE69318D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2EBDBBA-B15C-4066-8FFF-715BB2B7BF8F}"/>
    <cellStyle name="표준_P456 공장 및 복지동 전면 유리창 청소건 라상혁님_1129(최종)" xfId="20" xr:uid="{09A2A354-13D7-4E3D-99E2-E0DF661CE04A}"/>
    <cellStyle name="표준_S&amp;D_MAIN VALVE_최빈_2" xfId="17" xr:uid="{E16235A1-1457-466E-BCBC-A58B4475B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E1671-D038-4CB8-8F78-5C7D7E601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9E6D-B9B1-4D65-A562-97E94412210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7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178" t="s">
        <v>101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181" t="s">
        <v>103</v>
      </c>
      <c r="B7" s="182"/>
      <c r="C7" s="183"/>
      <c r="D7" s="169">
        <v>2025</v>
      </c>
      <c r="E7" s="120" t="s">
        <v>104</v>
      </c>
      <c r="F7" s="120">
        <v>8</v>
      </c>
      <c r="G7" s="120" t="s">
        <v>105</v>
      </c>
      <c r="H7" s="120">
        <v>21</v>
      </c>
      <c r="I7" s="120" t="s">
        <v>106</v>
      </c>
      <c r="J7" s="121"/>
      <c r="K7" s="184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187" t="s">
        <v>112</v>
      </c>
      <c r="B8" s="188"/>
      <c r="C8" s="189"/>
      <c r="D8" s="190" t="s">
        <v>113</v>
      </c>
      <c r="E8" s="191"/>
      <c r="F8" s="191"/>
      <c r="G8" s="192"/>
      <c r="H8" s="193" t="s">
        <v>114</v>
      </c>
      <c r="I8" s="191"/>
      <c r="J8" s="194"/>
      <c r="K8" s="185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187" t="s">
        <v>119</v>
      </c>
      <c r="B9" s="188"/>
      <c r="C9" s="189"/>
      <c r="D9" s="195" t="s">
        <v>120</v>
      </c>
      <c r="E9" s="196"/>
      <c r="F9" s="196"/>
      <c r="G9" s="196"/>
      <c r="H9" s="196"/>
      <c r="I9" s="196"/>
      <c r="J9" s="197"/>
      <c r="K9" s="185"/>
      <c r="L9" s="124" t="s">
        <v>121</v>
      </c>
      <c r="M9" s="198" t="s">
        <v>122</v>
      </c>
      <c r="N9" s="188"/>
      <c r="O9" s="189"/>
    </row>
    <row r="10" spans="1:15" ht="23.25" customHeight="1" thickBot="1" x14ac:dyDescent="0.35">
      <c r="A10" s="199" t="s">
        <v>123</v>
      </c>
      <c r="B10" s="200"/>
      <c r="C10" s="201"/>
      <c r="D10" s="202" t="s">
        <v>124</v>
      </c>
      <c r="E10" s="203"/>
      <c r="F10" s="203"/>
      <c r="G10" s="203"/>
      <c r="H10" s="203"/>
      <c r="I10" s="203"/>
      <c r="J10" s="204"/>
      <c r="K10" s="186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174" t="s">
        <v>165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05" t="str">
        <f>"견 적 금 액 : 一金"&amp;NUMBERSTRING(M32,1) &amp; "원정""(\"&amp; TEXT(M32,"#,###")&amp;"원) [VAT 별도]"</f>
        <v>견 적 금 액 : 一金사백칠십만팔천오백원정"(\4,708,500원) [VAT 별도]</v>
      </c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6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07"/>
      <c r="L16" s="207"/>
      <c r="M16" s="207"/>
      <c r="N16" s="207"/>
      <c r="O16" s="208"/>
    </row>
    <row r="17" spans="1:17" ht="27.75" customHeight="1" thickBot="1" x14ac:dyDescent="0.35">
      <c r="A17" s="136" t="s">
        <v>130</v>
      </c>
      <c r="B17" s="215" t="s">
        <v>131</v>
      </c>
      <c r="C17" s="216"/>
      <c r="D17" s="216"/>
      <c r="E17" s="216"/>
      <c r="F17" s="216"/>
      <c r="G17" s="217"/>
      <c r="H17" s="137" t="s">
        <v>132</v>
      </c>
      <c r="I17" s="138" t="s">
        <v>133</v>
      </c>
      <c r="J17" s="218" t="s">
        <v>134</v>
      </c>
      <c r="K17" s="219"/>
      <c r="L17" s="219"/>
      <c r="M17" s="220"/>
      <c r="N17" s="215" t="s">
        <v>135</v>
      </c>
      <c r="O17" s="221"/>
    </row>
    <row r="18" spans="1:17" ht="28.5" customHeight="1" x14ac:dyDescent="0.3">
      <c r="A18" s="139">
        <v>1</v>
      </c>
      <c r="B18" s="209" t="s">
        <v>42</v>
      </c>
      <c r="C18" s="210"/>
      <c r="D18" s="210"/>
      <c r="E18" s="210"/>
      <c r="F18" s="210"/>
      <c r="G18" s="211"/>
      <c r="H18" s="170">
        <v>1</v>
      </c>
      <c r="I18" s="171" t="s">
        <v>1</v>
      </c>
      <c r="J18" s="212">
        <f>IFERROR(LOOKUP(2, 1/(TRIM('내역서(표준단가)'!O4:O100)&lt;&gt;""), '내역서(표준단가)'!O4:O100), "-")</f>
        <v>883855.34899999993</v>
      </c>
      <c r="K18" s="212"/>
      <c r="L18" s="212"/>
      <c r="M18" s="212"/>
      <c r="N18" s="213"/>
      <c r="O18" s="214"/>
    </row>
    <row r="19" spans="1:17" ht="28.5" customHeight="1" x14ac:dyDescent="0.3">
      <c r="A19" s="140">
        <v>2</v>
      </c>
      <c r="B19" s="222" t="s">
        <v>43</v>
      </c>
      <c r="C19" s="223"/>
      <c r="D19" s="223"/>
      <c r="E19" s="223"/>
      <c r="F19" s="223"/>
      <c r="G19" s="224"/>
      <c r="H19" s="172">
        <v>1</v>
      </c>
      <c r="I19" s="172" t="s">
        <v>1</v>
      </c>
      <c r="J19" s="225">
        <f>IFERROR(LOOKUP(2, 1/(TRIM('내역서(표준단가)'!Q4:Q100)&lt;&gt;""), '내역서(표준단가)'!Q4:Q100), "-")</f>
        <v>2842839.0554520003</v>
      </c>
      <c r="K19" s="226"/>
      <c r="L19" s="226"/>
      <c r="M19" s="227"/>
      <c r="N19" s="228"/>
      <c r="O19" s="229"/>
    </row>
    <row r="20" spans="1:17" ht="28.5" customHeight="1" x14ac:dyDescent="0.3">
      <c r="A20" s="140">
        <v>3</v>
      </c>
      <c r="B20" s="222" t="s">
        <v>136</v>
      </c>
      <c r="C20" s="223"/>
      <c r="D20" s="223"/>
      <c r="E20" s="223"/>
      <c r="F20" s="223"/>
      <c r="G20" s="224"/>
      <c r="H20" s="141">
        <v>1</v>
      </c>
      <c r="I20" s="141" t="s">
        <v>1</v>
      </c>
      <c r="J20" s="230">
        <f>IFERROR(SUM(J21:M29),"-")</f>
        <v>487575.17728851968</v>
      </c>
      <c r="K20" s="231"/>
      <c r="L20" s="231"/>
      <c r="M20" s="232"/>
      <c r="N20" s="233"/>
      <c r="O20" s="234"/>
      <c r="P20" s="142"/>
    </row>
    <row r="21" spans="1:17" ht="28.5" customHeight="1" x14ac:dyDescent="0.3">
      <c r="A21" s="139"/>
      <c r="B21" s="143"/>
      <c r="C21" s="235" t="s">
        <v>137</v>
      </c>
      <c r="D21" s="236"/>
      <c r="E21" s="236"/>
      <c r="F21" s="236"/>
      <c r="G21" s="237"/>
      <c r="H21" s="173">
        <v>1</v>
      </c>
      <c r="I21" s="173" t="s">
        <v>1</v>
      </c>
      <c r="J21" s="23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9"/>
      <c r="L21" s="239"/>
      <c r="M21" s="240"/>
      <c r="N21" s="241" t="s">
        <v>138</v>
      </c>
      <c r="O21" s="242"/>
    </row>
    <row r="22" spans="1:17" ht="28.5" customHeight="1" x14ac:dyDescent="0.3">
      <c r="A22" s="139"/>
      <c r="B22" s="143"/>
      <c r="C22" s="243" t="s">
        <v>139</v>
      </c>
      <c r="D22" s="244"/>
      <c r="E22" s="244"/>
      <c r="F22" s="244"/>
      <c r="G22" s="245"/>
      <c r="H22" s="144">
        <v>3.11</v>
      </c>
      <c r="I22" s="144" t="s">
        <v>140</v>
      </c>
      <c r="J22" s="246">
        <f>IFERROR((J18+J19)*H22%,"-")</f>
        <v>115900.19597845721</v>
      </c>
      <c r="K22" s="247"/>
      <c r="L22" s="247"/>
      <c r="M22" s="248"/>
      <c r="N22" s="249" t="s">
        <v>141</v>
      </c>
      <c r="O22" s="250"/>
    </row>
    <row r="23" spans="1:17" ht="28.5" customHeight="1" x14ac:dyDescent="0.3">
      <c r="A23" s="139"/>
      <c r="B23" s="143"/>
      <c r="C23" s="243" t="s">
        <v>142</v>
      </c>
      <c r="D23" s="244"/>
      <c r="E23" s="244"/>
      <c r="F23" s="244"/>
      <c r="G23" s="245"/>
      <c r="H23" s="144">
        <v>3.56</v>
      </c>
      <c r="I23" s="144" t="s">
        <v>143</v>
      </c>
      <c r="J23" s="246">
        <f>IFERROR(J19*H23%,"-")</f>
        <v>101205.07037409121</v>
      </c>
      <c r="K23" s="247"/>
      <c r="L23" s="247"/>
      <c r="M23" s="248"/>
      <c r="N23" s="249" t="s">
        <v>144</v>
      </c>
      <c r="O23" s="250"/>
    </row>
    <row r="24" spans="1:17" ht="28.5" customHeight="1" x14ac:dyDescent="0.3">
      <c r="A24" s="139"/>
      <c r="B24" s="143"/>
      <c r="C24" s="243" t="s">
        <v>145</v>
      </c>
      <c r="D24" s="244"/>
      <c r="E24" s="244"/>
      <c r="F24" s="244"/>
      <c r="G24" s="245"/>
      <c r="H24" s="144">
        <v>1.01</v>
      </c>
      <c r="I24" s="144" t="s">
        <v>143</v>
      </c>
      <c r="J24" s="246">
        <f>IFERROR(J19*H24%,"-")</f>
        <v>28712.674460065202</v>
      </c>
      <c r="K24" s="247"/>
      <c r="L24" s="247"/>
      <c r="M24" s="248"/>
      <c r="N24" s="249" t="s">
        <v>146</v>
      </c>
      <c r="O24" s="250"/>
    </row>
    <row r="25" spans="1:17" ht="28.5" customHeight="1" x14ac:dyDescent="0.3">
      <c r="A25" s="139"/>
      <c r="B25" s="143"/>
      <c r="C25" s="243" t="s">
        <v>147</v>
      </c>
      <c r="D25" s="244"/>
      <c r="E25" s="244"/>
      <c r="F25" s="244"/>
      <c r="G25" s="245"/>
      <c r="H25" s="145">
        <v>3.5449999999999999</v>
      </c>
      <c r="I25" s="144" t="s">
        <v>143</v>
      </c>
      <c r="J25" s="246">
        <f>IFERROR(J19*H25%,"-")</f>
        <v>100778.64451577341</v>
      </c>
      <c r="K25" s="247"/>
      <c r="L25" s="247"/>
      <c r="M25" s="248"/>
      <c r="N25" s="249" t="s">
        <v>148</v>
      </c>
      <c r="O25" s="250"/>
      <c r="Q25" s="142"/>
    </row>
    <row r="26" spans="1:17" ht="28.5" customHeight="1" x14ac:dyDescent="0.3">
      <c r="A26" s="139"/>
      <c r="B26" s="143"/>
      <c r="C26" s="243" t="s">
        <v>149</v>
      </c>
      <c r="D26" s="244"/>
      <c r="E26" s="244"/>
      <c r="F26" s="244"/>
      <c r="G26" s="245"/>
      <c r="H26" s="144">
        <v>4.5</v>
      </c>
      <c r="I26" s="144" t="s">
        <v>143</v>
      </c>
      <c r="J26" s="246">
        <f>IFERROR(J19*H26%,"-")</f>
        <v>127927.75749534002</v>
      </c>
      <c r="K26" s="247"/>
      <c r="L26" s="247"/>
      <c r="M26" s="248"/>
      <c r="N26" s="249" t="s">
        <v>150</v>
      </c>
      <c r="O26" s="250"/>
      <c r="Q26" s="146"/>
    </row>
    <row r="27" spans="1:17" ht="28.5" customHeight="1" x14ac:dyDescent="0.3">
      <c r="A27" s="139"/>
      <c r="B27" s="143"/>
      <c r="C27" s="251" t="s">
        <v>151</v>
      </c>
      <c r="D27" s="252"/>
      <c r="E27" s="252"/>
      <c r="F27" s="252"/>
      <c r="G27" s="253"/>
      <c r="H27" s="147">
        <v>12.95</v>
      </c>
      <c r="I27" s="148" t="s">
        <v>143</v>
      </c>
      <c r="J27" s="254">
        <f>IFERROR($H$27*J25%,"-")</f>
        <v>13050.834464792655</v>
      </c>
      <c r="K27" s="255"/>
      <c r="L27" s="255"/>
      <c r="M27" s="256"/>
      <c r="N27" s="249" t="s">
        <v>152</v>
      </c>
      <c r="O27" s="250"/>
    </row>
    <row r="28" spans="1:17" ht="28.5" customHeight="1" x14ac:dyDescent="0.3">
      <c r="A28" s="139"/>
      <c r="B28" s="143"/>
      <c r="C28" s="251" t="s">
        <v>153</v>
      </c>
      <c r="D28" s="252"/>
      <c r="E28" s="252"/>
      <c r="F28" s="252"/>
      <c r="G28" s="253"/>
      <c r="H28" s="147">
        <v>8.1000000000000003E-2</v>
      </c>
      <c r="I28" s="148" t="s">
        <v>143</v>
      </c>
      <c r="J28" s="254" t="str">
        <f>IFERROR(IF(SUM(J21:J27,J18:J19)&gt;=10000000,SUM(J21:J27,J18:J19)*H28%,"-"),"-")</f>
        <v>-</v>
      </c>
      <c r="K28" s="255"/>
      <c r="L28" s="255"/>
      <c r="M28" s="256"/>
      <c r="N28" s="257" t="s">
        <v>154</v>
      </c>
      <c r="O28" s="258"/>
    </row>
    <row r="29" spans="1:17" ht="28.5" customHeight="1" x14ac:dyDescent="0.3">
      <c r="A29" s="149"/>
      <c r="B29" s="150"/>
      <c r="C29" s="259" t="s">
        <v>155</v>
      </c>
      <c r="D29" s="260"/>
      <c r="E29" s="260"/>
      <c r="F29" s="260"/>
      <c r="G29" s="261"/>
      <c r="H29" s="151">
        <v>1</v>
      </c>
      <c r="I29" s="152" t="s">
        <v>156</v>
      </c>
      <c r="J29" s="262">
        <f>34*0</f>
        <v>0</v>
      </c>
      <c r="K29" s="263"/>
      <c r="L29" s="263"/>
      <c r="M29" s="264"/>
      <c r="N29" s="265" t="s">
        <v>157</v>
      </c>
      <c r="O29" s="266"/>
    </row>
    <row r="30" spans="1:17" ht="28.5" customHeight="1" x14ac:dyDescent="0.3">
      <c r="A30" s="149">
        <v>4</v>
      </c>
      <c r="B30" s="150"/>
      <c r="C30" s="259" t="s">
        <v>158</v>
      </c>
      <c r="D30" s="260"/>
      <c r="E30" s="260"/>
      <c r="F30" s="260"/>
      <c r="G30" s="261"/>
      <c r="H30" s="152">
        <v>5</v>
      </c>
      <c r="I30" s="153" t="s">
        <v>159</v>
      </c>
      <c r="J30" s="272">
        <f>IFERROR(IF(ISNUMBER(H30), SUM(J18:M20) * (H30 / 100), "-"), "-")</f>
        <v>210713.479087026</v>
      </c>
      <c r="K30" s="273"/>
      <c r="L30" s="273"/>
      <c r="M30" s="274"/>
      <c r="N30" s="275" t="s">
        <v>160</v>
      </c>
      <c r="O30" s="276"/>
    </row>
    <row r="31" spans="1:17" ht="28.5" customHeight="1" thickBot="1" x14ac:dyDescent="0.35">
      <c r="A31" s="149">
        <v>5</v>
      </c>
      <c r="B31" s="150"/>
      <c r="C31" s="259" t="s">
        <v>161</v>
      </c>
      <c r="D31" s="260"/>
      <c r="E31" s="260"/>
      <c r="F31" s="260"/>
      <c r="G31" s="261"/>
      <c r="H31" s="152">
        <v>7.5</v>
      </c>
      <c r="I31" s="153" t="s">
        <v>143</v>
      </c>
      <c r="J31" s="262">
        <f>IFERROR(SUM(J18:M20, J30) * (H31 / 100), "-")+-48356</f>
        <v>283517.72956206591</v>
      </c>
      <c r="K31" s="263"/>
      <c r="L31" s="263"/>
      <c r="M31" s="264"/>
      <c r="N31" s="277" t="s">
        <v>162</v>
      </c>
      <c r="O31" s="278"/>
      <c r="Q31" s="154"/>
    </row>
    <row r="32" spans="1:17" ht="28.5" customHeight="1" thickBot="1" x14ac:dyDescent="0.35">
      <c r="A32" s="267" t="s">
        <v>163</v>
      </c>
      <c r="B32" s="268"/>
      <c r="C32" s="268"/>
      <c r="D32" s="268"/>
      <c r="E32" s="268"/>
      <c r="F32" s="268"/>
      <c r="G32" s="268"/>
      <c r="H32" s="268"/>
      <c r="I32" s="269"/>
      <c r="J32" s="155"/>
      <c r="K32" s="156"/>
      <c r="L32" s="156"/>
      <c r="M32" s="157">
        <f>IFERROR(ROUNDDOWN(SUM(J18:M20)+J30+J31,0),"-")</f>
        <v>4708500</v>
      </c>
      <c r="N32" s="270"/>
      <c r="O32" s="271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J22" sqref="J22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0" t="s">
        <v>41</v>
      </c>
      <c r="K3" s="290"/>
      <c r="L3" s="288" t="s">
        <v>3</v>
      </c>
      <c r="M3" s="288" t="s">
        <v>0</v>
      </c>
      <c r="N3" s="284" t="s">
        <v>42</v>
      </c>
      <c r="O3" s="284"/>
      <c r="P3" s="284" t="s">
        <v>43</v>
      </c>
      <c r="Q3" s="284"/>
      <c r="R3" s="285" t="s">
        <v>44</v>
      </c>
      <c r="S3" s="285"/>
      <c r="T3" s="285" t="s">
        <v>45</v>
      </c>
      <c r="U3" s="285"/>
      <c r="V3" s="286" t="s">
        <v>46</v>
      </c>
      <c r="W3" s="282" t="s">
        <v>47</v>
      </c>
      <c r="X3" s="280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89"/>
      <c r="M4" s="289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7"/>
      <c r="W4" s="283"/>
      <c r="X4" s="281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100</v>
      </c>
      <c r="L5" s="57" t="s">
        <v>96</v>
      </c>
      <c r="M5" s="74">
        <v>11.266</v>
      </c>
      <c r="N5" s="94">
        <v>20900</v>
      </c>
      <c r="O5" s="70">
        <f t="shared" ref="O5" si="1">SUM(N5:N5)*M5*$O$2</f>
        <v>196608.59899999999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196608.59899999999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883855.34899999993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3726694.4044520003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G40" sqref="G40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1" t="s">
        <v>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15" customHeight="1" x14ac:dyDescent="0.3">
      <c r="A2" s="302" t="s">
        <v>5</v>
      </c>
      <c r="B2" s="303" t="s">
        <v>6</v>
      </c>
      <c r="C2" s="304" t="s">
        <v>3</v>
      </c>
      <c r="D2" s="304" t="s">
        <v>7</v>
      </c>
      <c r="E2" s="306" t="s">
        <v>8</v>
      </c>
      <c r="F2" s="303"/>
      <c r="G2" s="303" t="s">
        <v>9</v>
      </c>
      <c r="H2" s="303"/>
      <c r="I2" s="307" t="s">
        <v>10</v>
      </c>
      <c r="J2" s="308"/>
      <c r="K2" s="307" t="s">
        <v>11</v>
      </c>
      <c r="L2" s="308"/>
      <c r="M2" s="306" t="s">
        <v>12</v>
      </c>
      <c r="N2" s="303"/>
      <c r="O2" s="309" t="s">
        <v>13</v>
      </c>
    </row>
    <row r="3" spans="1:15" ht="15" customHeight="1" x14ac:dyDescent="0.3">
      <c r="A3" s="302"/>
      <c r="B3" s="303"/>
      <c r="C3" s="305"/>
      <c r="D3" s="305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0"/>
    </row>
    <row r="4" spans="1:15" ht="15" customHeight="1" x14ac:dyDescent="0.3">
      <c r="A4" s="299" t="s">
        <v>99</v>
      </c>
      <c r="B4" s="30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97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1" t="s">
        <v>78</v>
      </c>
    </row>
    <row r="6" spans="1:15" ht="15" customHeight="1" x14ac:dyDescent="0.3">
      <c r="A6" s="298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292"/>
    </row>
    <row r="7" spans="1:15" ht="15" customHeight="1" x14ac:dyDescent="0.3">
      <c r="A7" s="298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292"/>
    </row>
    <row r="8" spans="1:15" ht="15" customHeight="1" x14ac:dyDescent="0.3">
      <c r="A8" s="298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292"/>
    </row>
    <row r="9" spans="1:15" ht="15" customHeight="1" x14ac:dyDescent="0.3">
      <c r="A9" s="298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2"/>
    </row>
    <row r="10" spans="1:15" ht="15" customHeight="1" x14ac:dyDescent="0.3">
      <c r="A10" s="298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292"/>
    </row>
    <row r="11" spans="1:15" ht="15" customHeight="1" x14ac:dyDescent="0.3">
      <c r="A11" s="298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2"/>
    </row>
    <row r="12" spans="1:15" ht="15" customHeight="1" x14ac:dyDescent="0.3">
      <c r="A12" s="298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92"/>
    </row>
    <row r="13" spans="1:15" ht="15" customHeight="1" x14ac:dyDescent="0.3">
      <c r="A13" s="45" t="s">
        <v>27</v>
      </c>
      <c r="B13" s="46"/>
      <c r="C13" s="47"/>
      <c r="D13" s="48">
        <f>SUM(D5:D11)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293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2"/>
    </row>
    <row r="15" spans="1:15" ht="15" customHeight="1" x14ac:dyDescent="0.3">
      <c r="A15" s="293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2"/>
    </row>
    <row r="16" spans="1:15" ht="15" customHeight="1" x14ac:dyDescent="0.3">
      <c r="A16" s="293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2"/>
    </row>
    <row r="17" spans="1:15" ht="15" customHeight="1" x14ac:dyDescent="0.3">
      <c r="A17" s="294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295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296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296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296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296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L24" sqref="L24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11.266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2025-08-21T04:58:15Z</dcterms:modified>
</cp:coreProperties>
</file>
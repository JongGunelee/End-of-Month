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0CB283A2-F584-4BEB-A90C-7FB8C7CC79EF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20" i="3" s="1"/>
  <c r="K12" i="3"/>
  <c r="K11" i="3"/>
  <c r="U7" i="2"/>
  <c r="Q7" i="2"/>
  <c r="U6" i="2"/>
  <c r="S6" i="2"/>
  <c r="Q6" i="2"/>
  <c r="O6" i="2"/>
  <c r="V6" i="2" s="1"/>
  <c r="A6" i="2"/>
  <c r="V5" i="2"/>
  <c r="U5" i="2"/>
  <c r="S5" i="2"/>
  <c r="S7" i="2" s="1"/>
  <c r="Q5" i="2"/>
  <c r="O5" i="2"/>
  <c r="O7" i="2" s="1"/>
  <c r="J22" i="4" l="1"/>
  <c r="J24" i="4"/>
  <c r="J23" i="4"/>
  <c r="J26" i="4"/>
  <c r="J25" i="4"/>
  <c r="J27" i="4" s="1"/>
  <c r="V7" i="2"/>
  <c r="D9" i="3"/>
  <c r="K9" i="3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<sst xmlns="http://schemas.openxmlformats.org/spreadsheetml/2006/main" count="144" uniqueCount="126">
  <si>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823-9444       FAX 823-9511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</si>
  <si>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</si>
  <si>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</si>
  <si>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보일러,버너,배관자재,에어컨</t>
  </si>
  <si>
    <t>GRV-300(601)</t>
  </si>
  <si>
    <t>314-19-99933</t>
  </si>
  <si>
    <t>GTX-8000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</si>
  <si>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</si>
  <si>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</si>
  <si>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</si>
  <si>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101동 202호</t>
  </si>
  <si>
    <t>상      호</t>
  </si>
  <si>
    <t>KP-111</t>
  </si>
  <si>
    <t>성   명</t>
  </si>
  <si>
    <t>순환펌프</t>
  </si>
  <si>
    <t>등 록 번 호</t>
  </si>
  <si>
    <t>종   목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</si>
  <si>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</si>
  <si>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</si>
  <si>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규     격</t>
  </si>
  <si>
    <t>단    가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</si>
  <si>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</si>
  <si>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</si>
  <si>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합 계 금 액</t>
  </si>
  <si>
    <t>품     명</t>
  </si>
  <si>
    <t>할증기준</t>
  </si>
  <si>
    <t>전 화 번 호</t>
  </si>
  <si>
    <t>귀뚜라미산업</t>
  </si>
  <si>
    <t>세   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</si>
  <si>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</si>
  <si>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비   고</t>
  </si>
  <si>
    <t>기 타 사 항</t>
  </si>
  <si>
    <t>공 급 가 액</t>
  </si>
  <si>
    <t>가스밸브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</si>
  <si>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</si>
  <si>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 xml:space="preserve"> 2025  년   10  월   1  일</t>
  </si>
  <si>
    <t xml:space="preserve"> 견        적        서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</si>
  <si>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</si>
  <si>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</si>
  <si>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</si>
  <si>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</si>
  <si>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</si>
  <si>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도소매</t>
  </si>
  <si>
    <t>콘트롤</t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</si>
  <si>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</si>
  <si>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</si>
  <si>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</si>
  <si>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</si>
  <si>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SET</t>
  </si>
  <si>
    <t>수 량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</si>
  <si>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</si>
  <si>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</si>
  <si>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</si>
  <si>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</si>
  <si>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거꾸로ECO콘덴싱L20-27H 외</t>
  </si>
  <si>
    <t xml:space="preserve">  에스앤아이코퍼레이션시스템 귀하</t>
  </si>
  <si>
    <t xml:space="preserve">  ※ LG사택 101동 202호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</si>
  <si>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</si>
  <si>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</si>
  <si>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</si>
  <si>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</si>
  <si>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</si>
  <si>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</si>
  <si>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</si>
  <si>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</si>
  <si>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</si>
  <si>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</si>
  <si>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</si>
  <si>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</si>
  <si>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</si>
  <si>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</si>
  <si>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</si>
  <si>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</si>
  <si>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</si>
  <si>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</si>
  <si>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</si>
  <si>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</si>
  <si>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</si>
  <si>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</si>
  <si>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</si>
  <si>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</si>
  <si>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</si>
  <si>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</si>
  <si>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</si>
  <si>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</si>
  <si>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</si>
  <si>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</si>
  <si>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</si>
  <si>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</si>
  <si>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</si>
  <si>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</si>
  <si>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</si>
  <si>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</si>
  <si>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</si>
  <si>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</si>
  <si>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</si>
  <si>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</si>
  <si>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</si>
  <si>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</si>
  <si>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</si>
  <si>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</si>
  <si>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</si>
  <si>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</si>
  <si>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</si>
  <si>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</si>
  <si>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</si>
  <si>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</si>
  <si>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</si>
  <si>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</si>
  <si>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</si>
  <si>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</si>
  <si>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</si>
  <si>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</si>
  <si>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</si>
  <si>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</si>
  <si>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</si>
  <si>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</si>
  <si>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</si>
  <si>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</si>
  <si>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</si>
  <si>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</si>
  <si>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</si>
  <si>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</si>
  <si>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</si>
  <si>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101-202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</si>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</sst>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83D02AE8-645E-49D9-B955-21EED33AB120}"/>
    <cellStyle name="백분율 2 3" xfId="6" xr:uid="{00000000-0005-0000-0000-000006000000}"/>
    <cellStyle name="쉼표 [0] 17" xfId="2" xr:uid="{00000000-0005-0000-0000-000002000000}"/>
    <cellStyle name="쉼표 [0] 17 2" xfId="20" xr:uid="{0EB0C60C-4B40-473F-8E40-8D4F43BFFB80}"/>
    <cellStyle name="쉼표 [0] 2" xfId="13" xr:uid="{71997476-B37C-4BF2-A73D-7E3DC87668F8}"/>
    <cellStyle name="쉼표 [0] 2 2 2" xfId="5" xr:uid="{00000000-0005-0000-0000-000005000000}"/>
    <cellStyle name="쉼표 [0] 2 2 29" xfId="14" xr:uid="{B09C3775-4331-4994-BCE1-9BA2007912CE}"/>
    <cellStyle name="쉼표 [0] 2 3" xfId="4" xr:uid="{00000000-0005-0000-0000-000004000000}"/>
    <cellStyle name="쉼표 [0] 2 84" xfId="18" xr:uid="{F517EB61-386D-4E6B-8F07-634E9D642BEF}"/>
    <cellStyle name="쉼표 [0] 5" xfId="16" xr:uid="{70FDF295-AB69-4FD8-8077-DF640724E76F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F3701E4D-108F-4EFE-AE0C-01F5CFB7AD14}"/>
    <cellStyle name="표준 10 2" xfId="10" xr:uid="{1240DDAE-7763-47D4-B1D2-2F1EBF44FA9D}"/>
    <cellStyle name="표준 2" xfId="17" xr:uid="{5D02984B-56A7-4C75-80B8-EE528FAC3BDA}"/>
    <cellStyle name="표준 3 2" xfId="3" xr:uid="{00000000-0005-0000-0000-000003000000}"/>
    <cellStyle name="표준 7" xfId="7" xr:uid="{00000000-0005-0000-0000-000007000000}"/>
    <cellStyle name="표준_p1공장 외벽청소(08.03.17)" xfId="11" xr:uid="{3239B1AA-513A-4C92-8EC3-4F1B92ACA16E}"/>
    <cellStyle name="표준_P456 공장 및 복지동 전면 유리창 청소건 라상혁님_1129(최종)" xfId="12" xr:uid="{D76DA79B-0689-4F62-B9E3-CA5D2BE69D15}"/>
    <cellStyle name="표준_S&amp;D_MAIN VALVE_최빈_2" xfId="9" xr:uid="{D89CE8D0-FCA4-43BE-87F1-7288E7BD7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C90C1B4-BCC7-4B3D-B9F9-12D04CF52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EA0A-1F44-4A10-9A3D-D9FCA116BC3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11" sqref="J11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29</v>
      </c>
      <c r="Q1" s="44" t="s">
        <v>29</v>
      </c>
      <c r="S1" s="44" t="s">
        <v>29</v>
      </c>
      <c r="U1" s="44" t="s">
        <v>29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21</v>
      </c>
      <c r="K3" s="234"/>
      <c r="L3" s="234" t="s">
        <v>44</v>
      </c>
      <c r="M3" s="234" t="s">
        <v>52</v>
      </c>
      <c r="N3" s="240" t="s">
        <v>46</v>
      </c>
      <c r="O3" s="240"/>
      <c r="P3" s="240" t="s">
        <v>39</v>
      </c>
      <c r="Q3" s="240"/>
      <c r="R3" s="241" t="s">
        <v>18</v>
      </c>
      <c r="S3" s="241"/>
      <c r="T3" s="241" t="s">
        <v>8</v>
      </c>
      <c r="U3" s="241"/>
      <c r="V3" s="242" t="s">
        <v>47</v>
      </c>
      <c r="W3" s="236" t="s">
        <v>22</v>
      </c>
      <c r="X3" s="238" t="s">
        <v>25</v>
      </c>
    </row>
    <row r="4" spans="1:24" ht="19.899999999999999" customHeight="1">
      <c r="A4" s="39" t="s">
        <v>47</v>
      </c>
      <c r="B4" s="38"/>
      <c r="C4" s="38"/>
      <c r="D4" s="38"/>
      <c r="E4" s="38"/>
      <c r="F4" s="37"/>
      <c r="G4" s="37"/>
      <c r="H4" s="37"/>
      <c r="I4" s="37"/>
      <c r="J4" s="36" t="s">
        <v>50</v>
      </c>
      <c r="K4" s="36" t="s">
        <v>51</v>
      </c>
      <c r="L4" s="235"/>
      <c r="M4" s="235"/>
      <c r="N4" s="35" t="s">
        <v>34</v>
      </c>
      <c r="O4" s="34" t="s">
        <v>40</v>
      </c>
      <c r="P4" s="35" t="s">
        <v>53</v>
      </c>
      <c r="Q4" s="34" t="s">
        <v>40</v>
      </c>
      <c r="R4" s="34" t="s">
        <v>53</v>
      </c>
      <c r="S4" s="34" t="s">
        <v>40</v>
      </c>
      <c r="T4" s="34" t="s">
        <v>53</v>
      </c>
      <c r="U4" s="34" t="s">
        <v>40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10</v>
      </c>
      <c r="K5" s="32" t="s">
        <v>54</v>
      </c>
      <c r="L5" s="31" t="s">
        <v>48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zoomScale="85" zoomScaleNormal="85" zoomScaleSheetLayoutView="85" workbookViewId="0">
      <selection activeCell="B28" sqref="B28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36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55</v>
      </c>
      <c r="B3" s="246"/>
      <c r="C3" s="246"/>
      <c r="D3" s="246"/>
      <c r="E3" s="246"/>
      <c r="F3" s="247" t="s">
        <v>15</v>
      </c>
      <c r="G3" s="248"/>
      <c r="H3" s="247"/>
      <c r="I3" s="249" t="s">
        <v>5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11</v>
      </c>
      <c r="G4" s="250"/>
      <c r="H4" s="247"/>
      <c r="I4" s="249" t="s">
        <v>27</v>
      </c>
      <c r="J4" s="249"/>
      <c r="K4" s="249"/>
      <c r="L4" s="249"/>
      <c r="M4" s="249"/>
      <c r="N4" s="249" t="s">
        <v>13</v>
      </c>
      <c r="O4" s="249"/>
      <c r="P4" s="249"/>
      <c r="Q4" s="251" t="s">
        <v>17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35</v>
      </c>
      <c r="B5" s="252"/>
      <c r="C5" s="252"/>
      <c r="D5" s="252"/>
      <c r="E5" s="252"/>
      <c r="F5" s="247" t="s">
        <v>7</v>
      </c>
      <c r="G5" s="248"/>
      <c r="H5" s="247"/>
      <c r="I5" s="249" t="s">
        <v>1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9</v>
      </c>
      <c r="G6" s="250"/>
      <c r="H6" s="247"/>
      <c r="I6" s="249" t="s">
        <v>42</v>
      </c>
      <c r="J6" s="249"/>
      <c r="K6" s="249" t="s">
        <v>16</v>
      </c>
      <c r="L6" s="249"/>
      <c r="M6" s="249"/>
      <c r="N6" s="249" t="s">
        <v>3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37</v>
      </c>
      <c r="B7" s="252"/>
      <c r="C7" s="252"/>
      <c r="D7" s="252"/>
      <c r="E7" s="252"/>
      <c r="F7" s="247" t="s">
        <v>26</v>
      </c>
      <c r="G7" s="250"/>
      <c r="H7" s="247"/>
      <c r="I7" s="249" t="s">
        <v>0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45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23</v>
      </c>
      <c r="B9" s="250"/>
      <c r="C9" s="250"/>
      <c r="D9" s="256" t="str">
        <f>"일금 "&amp;NUMBERSTRING((K20+N20),1)&amp;"원정"</f>
        <v>일금 삼십칠만팔천원정</v>
      </c>
      <c r="E9" s="256"/>
      <c r="F9" s="256"/>
      <c r="G9" s="256"/>
      <c r="H9" s="256"/>
      <c r="I9" s="256"/>
      <c r="J9" s="256"/>
      <c r="K9" s="257">
        <f>K20+N20</f>
        <v>378000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41</v>
      </c>
      <c r="B10" s="260" t="s">
        <v>24</v>
      </c>
      <c r="C10" s="261"/>
      <c r="D10" s="262" t="s">
        <v>19</v>
      </c>
      <c r="E10" s="263"/>
      <c r="F10" s="51" t="s">
        <v>49</v>
      </c>
      <c r="G10" s="262" t="s">
        <v>20</v>
      </c>
      <c r="H10" s="264"/>
      <c r="I10" s="264"/>
      <c r="J10" s="263"/>
      <c r="K10" s="262" t="s">
        <v>32</v>
      </c>
      <c r="L10" s="264"/>
      <c r="M10" s="264"/>
      <c r="N10" s="263"/>
      <c r="O10" s="262" t="s">
        <v>28</v>
      </c>
      <c r="P10" s="264"/>
      <c r="Q10" s="263"/>
      <c r="R10" s="51" t="s">
        <v>30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14</v>
      </c>
      <c r="C11" s="266"/>
      <c r="D11" s="267" t="s">
        <v>12</v>
      </c>
      <c r="E11" s="266"/>
      <c r="F11" s="51">
        <v>1</v>
      </c>
      <c r="G11" s="268">
        <v>123000</v>
      </c>
      <c r="H11" s="269"/>
      <c r="I11" s="269"/>
      <c r="J11" s="270"/>
      <c r="K11" s="271">
        <f>F11*G11</f>
        <v>123000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43</v>
      </c>
      <c r="C12" s="266"/>
      <c r="D12" s="267" t="s">
        <v>6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33</v>
      </c>
      <c r="C13" s="266"/>
      <c r="D13" s="267" t="s">
        <v>4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38</v>
      </c>
      <c r="B20" s="265"/>
      <c r="C20" s="266"/>
      <c r="D20" s="267"/>
      <c r="E20" s="266"/>
      <c r="F20" s="51"/>
      <c r="G20" s="268">
        <f>SUM(G11:J19)</f>
        <v>378000</v>
      </c>
      <c r="H20" s="269"/>
      <c r="I20" s="269"/>
      <c r="J20" s="270"/>
      <c r="K20" s="271">
        <f>SUM(K11:N19)</f>
        <v>378000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31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19</cp:revision>
  <dcterms:created xsi:type="dcterms:W3CDTF">2020-09-15T23:52:51Z</dcterms:created>
  <dcterms:modified xsi:type="dcterms:W3CDTF">2025-10-01T23:47:28Z</dcterms:modified>
  <cp:version>1300.0100.01</cp:version>
</cp:coreProperties>
</file>
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EA4CCECB-8D5F-49FA-A300-0E654A5C6507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K20" i="3"/>
  <c r="K9" i="3" s="1"/>
  <c r="G20" i="3"/>
  <c r="K13" i="3"/>
  <c r="K12" i="3"/>
  <c r="K11" i="3"/>
  <c r="U7" i="2"/>
  <c r="S7" i="2"/>
  <c r="U6" i="2"/>
  <c r="S6" i="2"/>
  <c r="Q6" i="2"/>
  <c r="O6" i="2"/>
  <c r="V6" i="2" s="1"/>
  <c r="A6" i="2"/>
  <c r="U5" i="2"/>
  <c r="S5" i="2"/>
  <c r="Q5" i="2"/>
  <c r="Q7" i="2" s="1"/>
  <c r="O5" i="2"/>
  <c r="V5" i="2" s="1"/>
  <c r="V7" i="2" s="1"/>
  <c r="J22" i="4" l="1"/>
  <c r="J24" i="4"/>
  <c r="J23" i="4"/>
  <c r="J26" i="4"/>
  <c r="J25" i="4"/>
  <c r="J27" i="4" s="1"/>
  <c r="D9" i="3"/>
  <c r="O7" i="2"/>
  <c r="J28" i="4" l="1"/>
  <c r="J20" i="4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<sst xmlns="http://schemas.openxmlformats.org/spreadsheetml/2006/main" count="144" uniqueCount="126">
  <si>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t>삼방밸브</t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</si>
  <si>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</si>
  <si>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</si>
  <si>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823-9444       FAX 823-9511</t>
  </si>
  <si>
    <t>할증기준</t>
  </si>
  <si>
    <t>세    액</t>
  </si>
  <si>
    <t>기 타 사 항</t>
  </si>
  <si>
    <t>품     명</t>
  </si>
  <si>
    <t>합 계 금 액</t>
  </si>
  <si>
    <t>가스밸브</t>
  </si>
  <si>
    <t>전 화 번 호</t>
  </si>
  <si>
    <t>종   목</t>
  </si>
  <si>
    <t>등 록 번 호</t>
  </si>
  <si>
    <t>규     격</t>
  </si>
  <si>
    <r>
      <rPr>
        <b/>
        <sz val="10"/>
        <color rgb="FF000000"/>
        <rFont val="LG스마트체 Regular"/>
        <family val="3"/>
        <charset val="129"/>
      </rPr>
      <t>기계경비</t>
    </r>
  </si>
  <si>
    <t>성   명</t>
  </si>
  <si>
    <r>
      <rPr>
        <b/>
        <sz val="10"/>
        <color rgb="FF000000"/>
        <rFont val="LG스마트체 Regular"/>
        <family val="3"/>
        <charset val="129"/>
      </rPr>
      <t>주요내역</t>
    </r>
  </si>
  <si>
    <t>귀뚜라미산업</t>
  </si>
  <si>
    <t xml:space="preserve">  김 태 용</t>
  </si>
  <si>
    <t>비   고</t>
  </si>
  <si>
    <t>단    가</t>
  </si>
  <si>
    <t>공 급 가 액</t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</si>
  <si>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</si>
  <si>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</si>
  <si>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</si>
  <si>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보일러,버너,배관자재,에어컨</t>
  </si>
  <si>
    <t>314-19-99933</t>
  </si>
  <si>
    <t>GRV-300(601)</t>
  </si>
  <si>
    <t>업      태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</si>
  <si>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</si>
  <si>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상      호</t>
  </si>
  <si>
    <t>GTX-8000</t>
  </si>
  <si>
    <t>주      소</t>
  </si>
  <si>
    <t>SET</t>
  </si>
  <si>
    <t>합계</t>
  </si>
  <si>
    <t>번 호</t>
  </si>
  <si>
    <t>도소매</t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</si>
  <si>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</si>
  <si>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</si>
  <si>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t xml:space="preserve">  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</si>
  <si>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</si>
  <si>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</si>
  <si>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</si>
  <si>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</si>
  <si>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t>콘트롤</t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</si>
  <si>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</si>
  <si>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</si>
  <si>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규격</t>
    </r>
  </si>
  <si>
    <t>수 량</t>
  </si>
  <si>
    <t xml:space="preserve">  에스앤아이코퍼레이션시스템 귀하</t>
  </si>
  <si>
    <t>거꾸로ECO콘덴싱L20-27H 외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</si>
  <si>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</si>
  <si>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</si>
  <si>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</si>
  <si>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t>102동 502호</t>
  </si>
  <si>
    <t xml:space="preserve">  ※ LG사택 102동 502호</t>
  </si>
  <si>
    <t>STV300-115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</si>
  <si>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</si>
  <si>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</si>
  <si>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</si>
  <si>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</si>
  <si>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</si>
  <si>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</si>
  <si>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</si>
  <si>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</si>
  <si>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</si>
  <si>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</si>
  <si>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</si>
  <si>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</si>
  <si>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</si>
  <si>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</si>
  <si>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</si>
  <si>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</si>
  <si>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</si>
  <si>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</si>
  <si>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</si>
  <si>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</si>
  <si>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</si>
  <si>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</si>
  <si>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</si>
  <si>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</si>
  <si>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</si>
  <si>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</si>
  <si>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</si>
  <si>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</si>
  <si>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</si>
  <si>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</si>
  <si>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</si>
  <si>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</si>
  <si>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</si>
  <si>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</si>
  <si>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</si>
  <si>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</si>
  <si>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</si>
  <si>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</si>
  <si>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</si>
  <si>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</si>
  <si>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</si>
  <si>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</si>
  <si>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</si>
  <si>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</si>
  <si>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</si>
  <si>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</si>
  <si>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</si>
  <si>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</si>
  <si>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</si>
  <si>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</si>
  <si>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</si>
  <si>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</si>
  <si>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</si>
  <si>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</si>
  <si>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</si>
  <si>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</si>
  <si>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</si>
  <si>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</si>
  <si>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</si>
  <si>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</si>
  <si>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</si>
  <si>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</si>
  <si>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</si>
  <si>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</si>
  <si>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</si>
  <si>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</si>
  <si>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</si>
  <si>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102-502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</si>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</sst>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B70C7DE9-E0C5-450E-B24B-817F88B21952}"/>
    <cellStyle name="백분율 2 3" xfId="6" xr:uid="{00000000-0005-0000-0000-000006000000}"/>
    <cellStyle name="쉼표 [0] 17" xfId="2" xr:uid="{00000000-0005-0000-0000-000002000000}"/>
    <cellStyle name="쉼표 [0] 17 2" xfId="20" xr:uid="{85A4CF8B-FF5A-422C-8172-9EDF49642A6E}"/>
    <cellStyle name="쉼표 [0] 2" xfId="13" xr:uid="{FCB639A6-E764-4970-8F36-58C4903CBC1D}"/>
    <cellStyle name="쉼표 [0] 2 2 2" xfId="5" xr:uid="{00000000-0005-0000-0000-000005000000}"/>
    <cellStyle name="쉼표 [0] 2 2 29" xfId="14" xr:uid="{1D9E782C-A5CD-4488-8F9F-D6BA225945D0}"/>
    <cellStyle name="쉼표 [0] 2 3" xfId="4" xr:uid="{00000000-0005-0000-0000-000004000000}"/>
    <cellStyle name="쉼표 [0] 2 84" xfId="18" xr:uid="{51C74F9C-CC20-4203-A233-D3DFA350563B}"/>
    <cellStyle name="쉼표 [0] 5" xfId="16" xr:uid="{5AEB5641-3758-49ED-B221-FF8B0C5B899B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7F1EE22D-D698-49BA-BE63-D47E3D2C9D60}"/>
    <cellStyle name="표준 10 2" xfId="10" xr:uid="{DC498735-CCE5-4E3F-8900-1ED6CEAE91AF}"/>
    <cellStyle name="표준 2" xfId="17" xr:uid="{9714951D-F792-485D-93F9-34DC26ABE20D}"/>
    <cellStyle name="표준 3 2" xfId="3" xr:uid="{00000000-0005-0000-0000-000003000000}"/>
    <cellStyle name="표준 7" xfId="7" xr:uid="{00000000-0005-0000-0000-000007000000}"/>
    <cellStyle name="표준_p1공장 외벽청소(08.03.17)" xfId="11" xr:uid="{8BDE77ED-FB90-49A6-B4A6-71EFF0E2688C}"/>
    <cellStyle name="표준_P456 공장 및 복지동 전면 유리창 청소건 라상혁님_1129(최종)" xfId="12" xr:uid="{A578F504-E65E-4BA5-B316-F55A7B92911B}"/>
    <cellStyle name="표준_S&amp;D_MAIN VALVE_최빈_2" xfId="9" xr:uid="{F6BAC782-01B1-4045-B80F-2D84FE2A84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FB97534-D564-4A94-B984-E8A0BF464D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02B5B-BF8A-4A3C-BDF2-169EE417A9A4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7" sqref="J7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22</v>
      </c>
      <c r="Q1" s="44" t="s">
        <v>22</v>
      </c>
      <c r="S1" s="44" t="s">
        <v>22</v>
      </c>
      <c r="U1" s="44" t="s">
        <v>22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2</v>
      </c>
      <c r="G3" s="40"/>
      <c r="H3" s="40"/>
      <c r="I3" s="40"/>
      <c r="J3" s="234" t="s">
        <v>16</v>
      </c>
      <c r="K3" s="234"/>
      <c r="L3" s="234" t="s">
        <v>43</v>
      </c>
      <c r="M3" s="234" t="s">
        <v>37</v>
      </c>
      <c r="N3" s="240" t="s">
        <v>41</v>
      </c>
      <c r="O3" s="240"/>
      <c r="P3" s="240" t="s">
        <v>40</v>
      </c>
      <c r="Q3" s="240"/>
      <c r="R3" s="241" t="s">
        <v>14</v>
      </c>
      <c r="S3" s="241"/>
      <c r="T3" s="241" t="s">
        <v>29</v>
      </c>
      <c r="U3" s="241"/>
      <c r="V3" s="242" t="s">
        <v>46</v>
      </c>
      <c r="W3" s="236" t="s">
        <v>23</v>
      </c>
      <c r="X3" s="238" t="s">
        <v>4</v>
      </c>
    </row>
    <row r="4" spans="1:24" ht="19.899999999999999" customHeight="1">
      <c r="A4" s="39" t="s">
        <v>46</v>
      </c>
      <c r="B4" s="38"/>
      <c r="C4" s="38"/>
      <c r="D4" s="38"/>
      <c r="E4" s="38"/>
      <c r="F4" s="37"/>
      <c r="G4" s="37"/>
      <c r="H4" s="37"/>
      <c r="I4" s="37"/>
      <c r="J4" s="36" t="s">
        <v>42</v>
      </c>
      <c r="K4" s="36" t="s">
        <v>47</v>
      </c>
      <c r="L4" s="235"/>
      <c r="M4" s="235"/>
      <c r="N4" s="35" t="s">
        <v>24</v>
      </c>
      <c r="O4" s="34" t="s">
        <v>45</v>
      </c>
      <c r="P4" s="35" t="s">
        <v>38</v>
      </c>
      <c r="Q4" s="34" t="s">
        <v>45</v>
      </c>
      <c r="R4" s="34" t="s">
        <v>38</v>
      </c>
      <c r="S4" s="34" t="s">
        <v>45</v>
      </c>
      <c r="T4" s="34" t="s">
        <v>38</v>
      </c>
      <c r="U4" s="34" t="s">
        <v>45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54</v>
      </c>
      <c r="K5" s="32" t="s">
        <v>50</v>
      </c>
      <c r="L5" s="31" t="s">
        <v>33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B14" sqref="B14:C14"/>
    </sheetView>
  </sheetViews>
  <sheetFormatPr defaultColWidth="8.75" defaultRowHeight="16.5"/>
  <cols>
    <col min="1" max="1" width="8.75" style="46" bestFit="1" customWidth="1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53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49</v>
      </c>
      <c r="B3" s="246"/>
      <c r="C3" s="246"/>
      <c r="D3" s="246"/>
      <c r="E3" s="246"/>
      <c r="F3" s="247" t="s">
        <v>12</v>
      </c>
      <c r="G3" s="248"/>
      <c r="H3" s="247"/>
      <c r="I3" s="249" t="s">
        <v>26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30</v>
      </c>
      <c r="G4" s="250"/>
      <c r="H4" s="247"/>
      <c r="I4" s="249" t="s">
        <v>17</v>
      </c>
      <c r="J4" s="249"/>
      <c r="K4" s="249"/>
      <c r="L4" s="249"/>
      <c r="M4" s="249"/>
      <c r="N4" s="249" t="s">
        <v>15</v>
      </c>
      <c r="O4" s="249"/>
      <c r="P4" s="249"/>
      <c r="Q4" s="251" t="s">
        <v>18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52</v>
      </c>
      <c r="B5" s="252"/>
      <c r="C5" s="252"/>
      <c r="D5" s="252"/>
      <c r="E5" s="252"/>
      <c r="F5" s="247" t="s">
        <v>32</v>
      </c>
      <c r="G5" s="248"/>
      <c r="H5" s="247"/>
      <c r="I5" s="249" t="s">
        <v>1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28</v>
      </c>
      <c r="G6" s="250"/>
      <c r="H6" s="247"/>
      <c r="I6" s="249" t="s">
        <v>36</v>
      </c>
      <c r="J6" s="249"/>
      <c r="K6" s="249" t="s">
        <v>11</v>
      </c>
      <c r="L6" s="249"/>
      <c r="M6" s="249"/>
      <c r="N6" s="249" t="s">
        <v>25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51</v>
      </c>
      <c r="B7" s="252"/>
      <c r="C7" s="252"/>
      <c r="D7" s="252"/>
      <c r="E7" s="252"/>
      <c r="F7" s="247" t="s">
        <v>10</v>
      </c>
      <c r="G7" s="250"/>
      <c r="H7" s="247"/>
      <c r="I7" s="249" t="s">
        <v>3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39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8</v>
      </c>
      <c r="B9" s="250"/>
      <c r="C9" s="250"/>
      <c r="D9" s="256" t="str">
        <f>"일금 "&amp;NUMBERSTRING((K20+N20),1)&amp;"원정"</f>
        <v>일금 삼십사만삼천원정</v>
      </c>
      <c r="E9" s="256"/>
      <c r="F9" s="256"/>
      <c r="G9" s="256"/>
      <c r="H9" s="256"/>
      <c r="I9" s="256"/>
      <c r="J9" s="256"/>
      <c r="K9" s="257">
        <f>K20+N20</f>
        <v>343000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35</v>
      </c>
      <c r="B10" s="260" t="s">
        <v>7</v>
      </c>
      <c r="C10" s="261"/>
      <c r="D10" s="262" t="s">
        <v>13</v>
      </c>
      <c r="E10" s="263"/>
      <c r="F10" s="51" t="s">
        <v>48</v>
      </c>
      <c r="G10" s="262" t="s">
        <v>20</v>
      </c>
      <c r="H10" s="264"/>
      <c r="I10" s="264"/>
      <c r="J10" s="263"/>
      <c r="K10" s="262" t="s">
        <v>21</v>
      </c>
      <c r="L10" s="264"/>
      <c r="M10" s="264"/>
      <c r="N10" s="263"/>
      <c r="O10" s="262" t="s">
        <v>5</v>
      </c>
      <c r="P10" s="264"/>
      <c r="Q10" s="263"/>
      <c r="R10" s="51" t="s">
        <v>19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0</v>
      </c>
      <c r="C11" s="266"/>
      <c r="D11" s="267" t="s">
        <v>56</v>
      </c>
      <c r="E11" s="266"/>
      <c r="F11" s="51">
        <v>1</v>
      </c>
      <c r="G11" s="268">
        <v>88000</v>
      </c>
      <c r="H11" s="269"/>
      <c r="I11" s="269"/>
      <c r="J11" s="270"/>
      <c r="K11" s="271">
        <f>F11*G11</f>
        <v>88000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44</v>
      </c>
      <c r="C12" s="266"/>
      <c r="D12" s="267" t="s">
        <v>31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9</v>
      </c>
      <c r="C13" s="266"/>
      <c r="D13" s="267" t="s">
        <v>27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34</v>
      </c>
      <c r="B20" s="265"/>
      <c r="C20" s="266"/>
      <c r="D20" s="267"/>
      <c r="E20" s="266"/>
      <c r="F20" s="51"/>
      <c r="G20" s="268">
        <f>SUM(G11:J14)</f>
        <v>343000</v>
      </c>
      <c r="H20" s="269"/>
      <c r="I20" s="269"/>
      <c r="J20" s="270"/>
      <c r="K20" s="271">
        <f>SUM(K11:N14)</f>
        <v>343000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6</v>
      </c>
      <c r="B21" s="284"/>
      <c r="C21" s="285"/>
      <c r="D21" s="286" t="s">
        <v>55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2025-10-01T23:47:56Z</dcterms:modified>
  <cp:version>1300.0100.01</cp:version>
</cp:coreProperties>
</file>
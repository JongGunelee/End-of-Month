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7 사택 7-408 수장공사\"/>
    </mc:Choice>
  </mc:AlternateContent>
  <xr:revisionPtr revIDLastSave="0" documentId="13_ncr:1_{734A84DC-BE30-47EA-963E-2A567ED5F949}" xr6:coauthVersionLast="47" xr6:coauthVersionMax="47" xr10:uidLastSave="{00000000-0000-0000-0000-000000000000}"/>
  <bookViews>
    <workbookView xWindow="1560" yWindow="0" windowWidth="2154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9" i="9"/>
  <c r="D7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<sst xmlns="http://schemas.openxmlformats.org/spreadsheetml/2006/main" count="209" uniqueCount="157">
  <si>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</si>
  <si>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</si>
  <si>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</si>
  <si>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</si>
  <si>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</si>
  <si>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</si>
  <si>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</si>
  <si>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</si>
  <si>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</si>
  <si>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</si>
  <si>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</si>
  <si>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</si>
  <si>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</si>
  <si>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</si>
  <si>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</si>
  <si>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</si>
  <si>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</si>
  <si>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</si>
  <si>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</si>
  <si>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</si>
  <si>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</si>
  <si>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</si>
  <si>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</si>
  <si>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</si>
  <si>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</si>
  <si>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</si>
  <si>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</si>
  <si>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</si>
  <si>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</si>
  <si>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</si>
  <si>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</si>
  <si>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</si>
  <si>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</si>
  <si>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</si>
  <si>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</si>
  <si>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</si>
  <si>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</si>
  <si>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</si>
  <si>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</si>
  <si>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</si>
  <si>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</si>
  <si>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</si>
  <si>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</si>
  <si>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</si>
  <si>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</si>
  <si>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</si>
  <si>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</si>
  <si>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</si>
  <si>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</si>
  <si>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</si>
  <si>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</si>
  <si>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</si>
  <si>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</si>
  <si>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</si>
  <si>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</si>
  <si>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</si>
  <si>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</si>
  <si>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</si>
  <si>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</si>
  <si>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</si>
  <si>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</si>
  <si>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</si>
  <si>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</si>
  <si>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</si>
  <si>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</si>
  <si>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</si>
  <si>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</si>
  <si>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</si>
  <si>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</si>
  <si>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</si>
  <si>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</si>
  <si>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</si>
  <si>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</si>
  <si>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</si>
  <si>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</si>
  <si>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</si>
  <si>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</si>
  <si>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</si>
  <si>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</si>
  <si>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</si>
  <si>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</si>
  <si>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</si>
  <si>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</si>
  <si>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</si>
  <si>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</si>
  <si>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</si>
  <si>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</si>
  <si>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</si>
  <si>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</si>
  <si>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</si>
  <si>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</si>
  <si>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</si>
  <si>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</si>
  <si>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</si>
  <si>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</si>
  <si>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</si>
  <si>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</si>
  <si>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</si>
  <si>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</si>
  <si>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</si>
  <si>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</si>
  <si>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</si>
  <si>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</si>
  <si>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</si>
  <si>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</si>
  <si>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</si>
  <si>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</si>
  <si>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</si>
  <si>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</si>
  <si>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</si>
  <si>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</si>
  <si>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</si>
  <si>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</si>
  <si>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</si>
  <si>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</si>
  <si>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</si>
  <si>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</si>
  <si>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</si>
  <si>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</si>
  <si>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</si>
  <si>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</si>
  <si>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</si>
  <si>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</si>
  <si>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</si>
  <si>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</si>
  <si>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</si>
  <si>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</si>
  <si>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</si>
  <si>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</si>
  <si>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</si>
  <si>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</si>
  <si>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</si>
  <si>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</si>
  <si>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</si>
  <si>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</si>
  <si>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</si>
  <si>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</si>
  <si>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</si>
  <si>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</si>
  <si>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</si>
  <si>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</si>
  <si>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</si>
  <si>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</si>
  <si>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</si>
  <si>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</si>
  <si>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</si>
  <si>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</si>
  <si>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</si>
  <si>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</si>
  <si>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</si>
  <si>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</si>
  <si>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</si>
  <si>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 xml:space="preserve">(앞,뒤베란다 걸레받이(앞,뒤베란다 창고바닥포함)), </t>
  </si>
  <si>
    <t xml:space="preserve"> 공사명 : 사택 7-408 수장공사</t>
    <phoneticPr fontId="11" type="noConversion"/>
  </si>
  <si>
    <t>사택 7-408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</si>
  <si>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5" type="noConversion"/>
  </si>
  <si>
    <t xml:space="preserve"> 견적일 : 2025 년  09월  15일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</si>
</sst>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93" fontId="29" fillId="7" borderId="31" xfId="13" applyNumberFormat="1" applyFont="1" applyFill="1" applyBorder="1" applyAlignment="1">
      <alignment horizontal="right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21" sqref="M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9" t="s">
        <v>153</v>
      </c>
      <c r="B7" s="180"/>
      <c r="C7" s="181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9" t="s">
        <v>156</v>
      </c>
      <c r="B9" s="180"/>
      <c r="C9" s="181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7"/>
      <c r="B11" s="178"/>
      <c r="C11" s="178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이백오십구만오천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'내역서(표준단가)'!O13</f>
        <v>536987.42284999997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'내역서(표준단가)'!Q13</f>
        <v>1673409.0144199999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2210396.4372699996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75303.405648899992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59322.349561189003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7682.2442681739758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16901.431045641999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59573.360913351993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138</v>
      </c>
      <c r="D26" s="30">
        <v>1</v>
      </c>
      <c r="E26" s="30" t="s">
        <v>25</v>
      </c>
      <c r="F26" s="43">
        <f>(F16+F17)*3.11%</f>
        <v>68743.329199096988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98046.756752817702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385572.87738917168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2595969.3146591713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2595000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5" sqref="N15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82"/>
      <c r="B1" s="182"/>
      <c r="C1" s="182"/>
      <c r="D1" s="182"/>
      <c r="E1" s="182"/>
      <c r="F1" s="182"/>
      <c r="G1" s="182"/>
      <c r="H1" s="182"/>
      <c r="I1" s="182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82"/>
      <c r="B2" s="182"/>
      <c r="C2" s="182"/>
      <c r="D2" s="182"/>
      <c r="E2" s="182"/>
      <c r="F2" s="182"/>
      <c r="G2" s="182"/>
      <c r="H2" s="182"/>
      <c r="I2" s="182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93" t="s">
        <v>98</v>
      </c>
      <c r="K3" s="193"/>
      <c r="L3" s="191" t="s">
        <v>47</v>
      </c>
      <c r="M3" s="191" t="s">
        <v>5</v>
      </c>
      <c r="N3" s="187" t="s">
        <v>99</v>
      </c>
      <c r="O3" s="187"/>
      <c r="P3" s="187" t="s">
        <v>100</v>
      </c>
      <c r="Q3" s="187"/>
      <c r="R3" s="188" t="s">
        <v>101</v>
      </c>
      <c r="S3" s="188"/>
      <c r="T3" s="188" t="s">
        <v>102</v>
      </c>
      <c r="U3" s="188"/>
      <c r="V3" s="189" t="s">
        <v>103</v>
      </c>
      <c r="W3" s="185" t="s">
        <v>104</v>
      </c>
      <c r="X3" s="183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92"/>
      <c r="M4" s="192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0"/>
      <c r="W4" s="186"/>
      <c r="X4" s="184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139</v>
      </c>
      <c r="I5" s="101"/>
      <c r="J5" s="134" t="s">
        <v>140</v>
      </c>
      <c r="K5" s="160" t="s">
        <v>155</v>
      </c>
      <c r="L5" s="118" t="s">
        <v>149</v>
      </c>
      <c r="M5" s="159">
        <v>5.5118999999999998</v>
      </c>
      <c r="N5" s="154">
        <v>20900</v>
      </c>
      <c r="O5" s="129">
        <f t="shared" ref="O5" si="1">SUM(N5:N5)*M5*$O$2</f>
        <v>96190.922849999988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96190.922849999988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151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" si="12">F7&amp;G7&amp;H7&amp;I7</f>
        <v>M020809012520101</v>
      </c>
      <c r="B7" s="107"/>
      <c r="C7" s="107"/>
      <c r="D7" s="107"/>
      <c r="E7" s="107"/>
      <c r="F7" s="101"/>
      <c r="G7" s="74"/>
      <c r="H7" s="74" t="s">
        <v>142</v>
      </c>
      <c r="I7" s="101"/>
      <c r="J7" s="134" t="s">
        <v>143</v>
      </c>
      <c r="K7" s="134" t="s">
        <v>144</v>
      </c>
      <c r="L7" s="118" t="s">
        <v>141</v>
      </c>
      <c r="M7" s="133">
        <v>39.6</v>
      </c>
      <c r="N7" s="132">
        <v>13000</v>
      </c>
      <c r="O7" s="129">
        <f t="shared" ref="O7:O11" si="13">SUM(N7:N7)*M7*$O$2</f>
        <v>429858</v>
      </c>
      <c r="P7" s="128"/>
      <c r="Q7" s="129">
        <f t="shared" ref="Q7:Q12" si="14">(P7*M7)*$Q$2</f>
        <v>0</v>
      </c>
      <c r="R7" s="130"/>
      <c r="S7" s="129">
        <f t="shared" ref="S7:S12" si="15">R7*M7*$S$2</f>
        <v>0</v>
      </c>
      <c r="T7" s="130"/>
      <c r="U7" s="129">
        <f t="shared" ref="U7:U12" si="16">T7*M7*$U$2</f>
        <v>0</v>
      </c>
      <c r="V7" s="77">
        <f t="shared" ref="V7:V12" si="17">SUM(O7+Q7)+S7+U7</f>
        <v>429858</v>
      </c>
      <c r="W7" s="117"/>
      <c r="X7" s="78"/>
    </row>
    <row r="8" spans="1:24" s="143" customFormat="1" ht="38.1" customHeight="1" x14ac:dyDescent="0.3">
      <c r="A8" s="73" t="str">
        <f t="shared" ref="A8:A12" si="18">F8&amp;G8&amp;H8&amp;I8</f>
        <v>E00000803071260401</v>
      </c>
      <c r="B8" s="107"/>
      <c r="C8" s="107"/>
      <c r="D8" s="107"/>
      <c r="E8" s="107"/>
      <c r="F8" s="101"/>
      <c r="G8" s="74" t="s">
        <v>119</v>
      </c>
      <c r="H8" s="74"/>
      <c r="I8" s="101"/>
      <c r="J8" s="134" t="s">
        <v>120</v>
      </c>
      <c r="K8" s="134" t="s">
        <v>150</v>
      </c>
      <c r="L8" s="75" t="s">
        <v>117</v>
      </c>
      <c r="M8" s="133">
        <v>0.64900000000000002</v>
      </c>
      <c r="N8" s="131"/>
      <c r="O8" s="129">
        <f t="shared" si="13"/>
        <v>0</v>
      </c>
      <c r="P8" s="128">
        <v>487076</v>
      </c>
      <c r="Q8" s="129">
        <f t="shared" si="14"/>
        <v>263953.79054000002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263953.79054000002</v>
      </c>
      <c r="W8" s="117"/>
      <c r="X8" s="78"/>
    </row>
    <row r="9" spans="1:24" s="143" customFormat="1" ht="38.1" customHeight="1" x14ac:dyDescent="0.3">
      <c r="A9" s="73" t="str">
        <f t="shared" si="18"/>
        <v>M020412614110102</v>
      </c>
      <c r="B9" s="107"/>
      <c r="C9" s="107"/>
      <c r="D9" s="107"/>
      <c r="E9" s="107"/>
      <c r="F9" s="101"/>
      <c r="G9" s="74"/>
      <c r="H9" s="155" t="s">
        <v>136</v>
      </c>
      <c r="I9" s="101"/>
      <c r="J9" s="156" t="s">
        <v>135</v>
      </c>
      <c r="K9" s="156" t="s">
        <v>131</v>
      </c>
      <c r="L9" s="125" t="s">
        <v>130</v>
      </c>
      <c r="M9" s="133">
        <v>0.2</v>
      </c>
      <c r="N9" s="157">
        <v>65500</v>
      </c>
      <c r="O9" s="129">
        <f t="shared" si="13"/>
        <v>10938.5</v>
      </c>
      <c r="P9" s="128"/>
      <c r="Q9" s="129"/>
      <c r="R9" s="130"/>
      <c r="S9" s="129"/>
      <c r="T9" s="130"/>
      <c r="U9" s="129"/>
      <c r="V9" s="77">
        <f t="shared" si="17"/>
        <v>10938.5</v>
      </c>
      <c r="W9" s="117"/>
      <c r="X9" s="78"/>
    </row>
    <row r="10" spans="1:24" s="143" customFormat="1" ht="38.1" customHeight="1" x14ac:dyDescent="0.3">
      <c r="A10" s="73" t="str">
        <f t="shared" si="18"/>
        <v>E00000803061120402</v>
      </c>
      <c r="B10" s="107"/>
      <c r="C10" s="107"/>
      <c r="D10" s="107"/>
      <c r="E10" s="107"/>
      <c r="F10" s="101"/>
      <c r="G10" s="74" t="s">
        <v>121</v>
      </c>
      <c r="H10" s="74"/>
      <c r="I10" s="101"/>
      <c r="J10" s="134" t="s">
        <v>122</v>
      </c>
      <c r="K10" s="134" t="s">
        <v>123</v>
      </c>
      <c r="L10" s="118" t="s">
        <v>128</v>
      </c>
      <c r="M10" s="133">
        <v>20</v>
      </c>
      <c r="N10" s="128"/>
      <c r="O10" s="129">
        <f t="shared" si="13"/>
        <v>0</v>
      </c>
      <c r="P10" s="128">
        <v>10432</v>
      </c>
      <c r="Q10" s="129">
        <f t="shared" si="14"/>
        <v>174214.39999999999</v>
      </c>
      <c r="R10" s="130"/>
      <c r="S10" s="129">
        <f t="shared" si="15"/>
        <v>0</v>
      </c>
      <c r="T10" s="130"/>
      <c r="U10" s="129">
        <f t="shared" si="16"/>
        <v>0</v>
      </c>
      <c r="V10" s="77">
        <f t="shared" si="17"/>
        <v>174214.39999999999</v>
      </c>
      <c r="W10" s="117"/>
      <c r="X10" s="78"/>
    </row>
    <row r="11" spans="1:24" s="143" customFormat="1" ht="38.1" customHeight="1" x14ac:dyDescent="0.3">
      <c r="A11" s="73" t="str">
        <f t="shared" si="18"/>
        <v>E00000803061300201</v>
      </c>
      <c r="B11" s="107"/>
      <c r="C11" s="107"/>
      <c r="D11" s="107"/>
      <c r="E11" s="107"/>
      <c r="F11" s="101"/>
      <c r="G11" s="74" t="s">
        <v>125</v>
      </c>
      <c r="H11" s="74"/>
      <c r="I11" s="101"/>
      <c r="J11" s="134" t="s">
        <v>126</v>
      </c>
      <c r="K11" s="134" t="s">
        <v>127</v>
      </c>
      <c r="L11" s="118" t="s">
        <v>124</v>
      </c>
      <c r="M11" s="133">
        <v>20</v>
      </c>
      <c r="N11" s="128"/>
      <c r="O11" s="129">
        <f t="shared" si="13"/>
        <v>0</v>
      </c>
      <c r="P11" s="128">
        <v>6179</v>
      </c>
      <c r="Q11" s="129">
        <f t="shared" si="14"/>
        <v>103189.29999999999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103189.29999999999</v>
      </c>
      <c r="W11" s="117"/>
      <c r="X11" s="78"/>
    </row>
    <row r="12" spans="1:24" s="143" customFormat="1" ht="38.1" customHeight="1" x14ac:dyDescent="0.3">
      <c r="A12" s="73" t="str">
        <f t="shared" si="18"/>
        <v>E00000801011510701</v>
      </c>
      <c r="B12" s="107"/>
      <c r="C12" s="107"/>
      <c r="D12" s="107"/>
      <c r="E12" s="107"/>
      <c r="F12" s="101"/>
      <c r="G12" s="74" t="s">
        <v>148</v>
      </c>
      <c r="H12" s="74"/>
      <c r="I12" s="101"/>
      <c r="J12" s="145" t="s">
        <v>145</v>
      </c>
      <c r="K12" s="145" t="s">
        <v>146</v>
      </c>
      <c r="L12" s="146" t="s">
        <v>147</v>
      </c>
      <c r="M12" s="133">
        <v>79</v>
      </c>
      <c r="N12" s="144"/>
      <c r="O12" s="76">
        <f t="shared" ref="O12" si="19">SUM(N12:N12)*M12*$O$2</f>
        <v>0</v>
      </c>
      <c r="P12" s="158">
        <v>4966</v>
      </c>
      <c r="Q12" s="76">
        <f t="shared" si="14"/>
        <v>327582.19</v>
      </c>
      <c r="R12" s="77"/>
      <c r="S12" s="76">
        <f t="shared" si="15"/>
        <v>0</v>
      </c>
      <c r="T12" s="77"/>
      <c r="U12" s="76">
        <f t="shared" si="16"/>
        <v>0</v>
      </c>
      <c r="V12" s="77">
        <f t="shared" si="17"/>
        <v>327582.19</v>
      </c>
      <c r="W12" s="117"/>
      <c r="X12" s="78"/>
    </row>
    <row r="13" spans="1:24" s="152" customFormat="1" ht="38.1" customHeight="1" x14ac:dyDescent="0.3">
      <c r="A13" s="147"/>
      <c r="B13" s="148"/>
      <c r="C13" s="148"/>
      <c r="D13" s="148"/>
      <c r="E13" s="148"/>
      <c r="F13" s="148"/>
      <c r="G13" s="148"/>
      <c r="H13" s="148"/>
      <c r="I13" s="148"/>
      <c r="J13" s="137"/>
      <c r="K13" s="137"/>
      <c r="L13" s="148"/>
      <c r="M13" s="148"/>
      <c r="N13" s="148"/>
      <c r="O13" s="149">
        <f>SUM(O5:O12)</f>
        <v>536987.42284999997</v>
      </c>
      <c r="P13" s="150"/>
      <c r="Q13" s="149">
        <f>SUM(Q5:Q12)</f>
        <v>1673409.0144199999</v>
      </c>
      <c r="R13" s="150"/>
      <c r="S13" s="149">
        <f>SUM(S5:S12)</f>
        <v>0</v>
      </c>
      <c r="T13" s="150"/>
      <c r="U13" s="149">
        <f>SUM(U5:U12)</f>
        <v>0</v>
      </c>
      <c r="V13" s="151">
        <f>SUM(V5:V12)</f>
        <v>2210396.4372700001</v>
      </c>
      <c r="W13" s="110"/>
      <c r="X13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E39" sqref="E39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6" t="s">
        <v>59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5" ht="15" customHeight="1" x14ac:dyDescent="0.3">
      <c r="A2" s="197" t="s">
        <v>60</v>
      </c>
      <c r="B2" s="198" t="s">
        <v>61</v>
      </c>
      <c r="C2" s="199" t="s">
        <v>47</v>
      </c>
      <c r="D2" s="199" t="s">
        <v>62</v>
      </c>
      <c r="E2" s="201" t="s">
        <v>63</v>
      </c>
      <c r="F2" s="198"/>
      <c r="G2" s="198" t="s">
        <v>64</v>
      </c>
      <c r="H2" s="198"/>
      <c r="I2" s="202" t="s">
        <v>65</v>
      </c>
      <c r="J2" s="203"/>
      <c r="K2" s="202" t="s">
        <v>66</v>
      </c>
      <c r="L2" s="203"/>
      <c r="M2" s="201" t="s">
        <v>67</v>
      </c>
      <c r="N2" s="198"/>
      <c r="O2" s="204" t="s">
        <v>68</v>
      </c>
    </row>
    <row r="3" spans="1:15" ht="15" customHeight="1" x14ac:dyDescent="0.3">
      <c r="A3" s="197"/>
      <c r="B3" s="198"/>
      <c r="C3" s="200"/>
      <c r="D3" s="200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5"/>
    </row>
    <row r="4" spans="1:15" ht="15" customHeight="1" x14ac:dyDescent="0.3">
      <c r="A4" s="194" t="s">
        <v>154</v>
      </c>
      <c r="B4" s="19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7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9" si="0">D5*E5</f>
        <v>49996.1</v>
      </c>
      <c r="G5" s="84">
        <v>8839.9</v>
      </c>
      <c r="H5" s="84">
        <f t="shared" ref="H5:H9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9"/>
    </row>
    <row r="6" spans="1:15" ht="15" customHeight="1" x14ac:dyDescent="0.3">
      <c r="A6" s="208"/>
      <c r="B6" s="172" t="s">
        <v>75</v>
      </c>
      <c r="C6" s="173" t="s">
        <v>74</v>
      </c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210"/>
    </row>
    <row r="7" spans="1:15" ht="15" customHeight="1" x14ac:dyDescent="0.3">
      <c r="A7" s="208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ref="N7:N9" si="2">F7+H7+J7+L7</f>
        <v>238515.29</v>
      </c>
      <c r="O7" s="210"/>
    </row>
    <row r="8" spans="1:15" ht="15" customHeight="1" x14ac:dyDescent="0.3">
      <c r="A8" s="208"/>
      <c r="B8" s="172" t="s">
        <v>77</v>
      </c>
      <c r="C8" s="173" t="s">
        <v>74</v>
      </c>
      <c r="D8" s="174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210"/>
    </row>
    <row r="9" spans="1:15" ht="15" customHeight="1" x14ac:dyDescent="0.3">
      <c r="A9" s="208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10"/>
    </row>
    <row r="10" spans="1:15" ht="15" customHeight="1" x14ac:dyDescent="0.3">
      <c r="A10" s="208"/>
      <c r="B10" s="172" t="s">
        <v>79</v>
      </c>
      <c r="C10" s="173" t="s">
        <v>74</v>
      </c>
      <c r="D10" s="174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210"/>
    </row>
    <row r="11" spans="1:15" ht="15" customHeight="1" x14ac:dyDescent="0.3">
      <c r="A11" s="111" t="s">
        <v>80</v>
      </c>
      <c r="B11" s="112"/>
      <c r="C11" s="113"/>
      <c r="D11" s="171">
        <f>SUM(D5:D10)</f>
        <v>91</v>
      </c>
      <c r="E11" s="114"/>
      <c r="F11" s="114">
        <f>SUM(F5:F10)</f>
        <v>96187</v>
      </c>
      <c r="G11" s="114"/>
      <c r="H11" s="114">
        <f>SUM(H5:H10)</f>
        <v>804430.9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900617.89999999991</v>
      </c>
      <c r="O11" s="114"/>
    </row>
    <row r="12" spans="1:15" ht="15" customHeight="1" x14ac:dyDescent="0.3">
      <c r="A12" s="211" t="s">
        <v>137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10"/>
    </row>
    <row r="13" spans="1:15" ht="15" customHeight="1" x14ac:dyDescent="0.3">
      <c r="A13" s="211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10"/>
    </row>
    <row r="14" spans="1:15" ht="15" customHeight="1" x14ac:dyDescent="0.3">
      <c r="A14" s="211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10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134</v>
      </c>
      <c r="B17" s="164" t="s">
        <v>131</v>
      </c>
      <c r="C17" s="164" t="s">
        <v>130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12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12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13" t="s">
        <v>152</v>
      </c>
    </row>
    <row r="20" spans="1:15" ht="15" customHeight="1" x14ac:dyDescent="0.3">
      <c r="A20" s="206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4"/>
    </row>
    <row r="21" spans="1:15" ht="15" customHeight="1" x14ac:dyDescent="0.3">
      <c r="A21" s="206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132</v>
      </c>
      <c r="B22" s="126" t="s">
        <v>133</v>
      </c>
      <c r="C22" s="126" t="s">
        <v>130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6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6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6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6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129</v>
      </c>
      <c r="B30" s="85"/>
      <c r="C30" s="86"/>
      <c r="D30" s="96"/>
      <c r="E30" s="98"/>
      <c r="F30" s="99">
        <f>F11+F15+F27+F29</f>
        <v>538069.1</v>
      </c>
      <c r="G30" s="99"/>
      <c r="H30" s="99">
        <f>H11+H15+H27+H29</f>
        <v>1674167.47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2212236.5699999998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E30" sqref="E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5.5118999999999998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M020809012520101</v>
      </c>
      <c r="B4" s="106">
        <f>'내역서(표준단가)'!F7</f>
        <v>0</v>
      </c>
      <c r="C4" s="106">
        <f>'내역서(표준단가)'!G7</f>
        <v>0</v>
      </c>
      <c r="D4" s="106" t="str">
        <f>'내역서(표준단가)'!H7</f>
        <v>M020809012520101</v>
      </c>
      <c r="E4" s="106">
        <f>'내역서(표준단가)'!I7</f>
        <v>0</v>
      </c>
      <c r="F4" s="116">
        <f>'내역서(표준단가)'!M7</f>
        <v>39.6</v>
      </c>
    </row>
    <row r="5" spans="1:6" x14ac:dyDescent="0.3">
      <c r="A5" s="105" t="str">
        <f>'내역서(표준단가)'!A8</f>
        <v>E00000803071260401</v>
      </c>
      <c r="B5" s="106">
        <f>'내역서(표준단가)'!F8</f>
        <v>0</v>
      </c>
      <c r="C5" s="106" t="str">
        <f>'내역서(표준단가)'!G8</f>
        <v>E00000803071260401</v>
      </c>
      <c r="D5" s="106">
        <f>'내역서(표준단가)'!H8</f>
        <v>0</v>
      </c>
      <c r="E5" s="106">
        <f>'내역서(표준단가)'!I8</f>
        <v>0</v>
      </c>
      <c r="F5" s="116">
        <f>'내역서(표준단가)'!M8</f>
        <v>0.64900000000000002</v>
      </c>
    </row>
    <row r="6" spans="1:6" x14ac:dyDescent="0.3">
      <c r="A6" s="105" t="str">
        <f>'내역서(표준단가)'!A9</f>
        <v>M020412614110102</v>
      </c>
      <c r="B6" s="106">
        <f>'내역서(표준단가)'!F9</f>
        <v>0</v>
      </c>
      <c r="C6" s="106">
        <f>'내역서(표준단가)'!G9</f>
        <v>0</v>
      </c>
      <c r="D6" s="106" t="str">
        <f>'내역서(표준단가)'!H9</f>
        <v>M020412614110102</v>
      </c>
      <c r="E6" s="106">
        <f>'내역서(표준단가)'!I9</f>
        <v>0</v>
      </c>
      <c r="F6" s="116">
        <f>'내역서(표준단가)'!M9</f>
        <v>0.2</v>
      </c>
    </row>
    <row r="7" spans="1:6" x14ac:dyDescent="0.3">
      <c r="A7" s="105" t="str">
        <f>'내역서(표준단가)'!A10</f>
        <v>E00000803061120402</v>
      </c>
      <c r="B7" s="106">
        <f>'내역서(표준단가)'!F10</f>
        <v>0</v>
      </c>
      <c r="C7" s="106" t="str">
        <f>'내역서(표준단가)'!G10</f>
        <v>E00000803061120402</v>
      </c>
      <c r="D7" s="106">
        <f>'내역서(표준단가)'!H10</f>
        <v>0</v>
      </c>
      <c r="E7" s="106">
        <f>'내역서(표준단가)'!I10</f>
        <v>0</v>
      </c>
      <c r="F7" s="116">
        <f>'내역서(표준단가)'!M10</f>
        <v>20</v>
      </c>
    </row>
    <row r="8" spans="1:6" x14ac:dyDescent="0.3">
      <c r="A8" s="105" t="str">
        <f>'내역서(표준단가)'!A11</f>
        <v>E00000803061300201</v>
      </c>
      <c r="B8" s="106">
        <f>'내역서(표준단가)'!F11</f>
        <v>0</v>
      </c>
      <c r="C8" s="106" t="str">
        <f>'내역서(표준단가)'!G11</f>
        <v>E00000803061300201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E00000801011510701</v>
      </c>
      <c r="B9" s="106">
        <f>'내역서(표준단가)'!F12</f>
        <v>0</v>
      </c>
      <c r="C9" s="106" t="str">
        <f>'내역서(표준단가)'!G12</f>
        <v>E00000801011510701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2025-09-18T06:58:49Z</dcterms:modified>
</cp:coreProperties>
</file>
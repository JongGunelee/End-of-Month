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DF3718DC-BF5B-47D8-91D2-A1FD510E59A8}"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2" i="12" l="1"/>
  <c r="J24" i="12"/>
  <c r="J23" i="12"/>
  <c r="J26" i="12"/>
  <c r="J25" i="12"/>
  <c r="J27" i="12" s="1"/>
  <c r="U5" i="4"/>
  <c r="S5" i="4"/>
  <c r="Q5" i="4"/>
  <c r="O5" i="4"/>
  <c r="A5" i="4"/>
  <c r="A2" i="10" s="1"/>
  <c r="J28" i="12" l="1"/>
  <c r="J20" i="12" s="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<sst xmlns="http://schemas.openxmlformats.org/spreadsheetml/2006/main" count="220" uniqueCount="169">
  <si>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</si>
  <si>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</si>
  <si>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</si>
  <si>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</si>
  <si>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</si>
  <si>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</si>
  <si>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</si>
  <si>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</si>
  <si>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</si>
  <si>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</si>
  <si>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</si>
  <si>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</si>
  <si>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</si>
  <si>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</si>
  <si>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</si>
  <si>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</si>
  <si>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</si>
  <si>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</si>
  <si>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</si>
  <si>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</si>
  <si>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</si>
  <si>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</si>
  <si>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</si>
  <si>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</si>
  <si>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</si>
  <si>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</si>
  <si>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</si>
  <si>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</si>
  <si>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</si>
  <si>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</si>
  <si>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</si>
  <si>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</si>
  <si>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</si>
  <si>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</si>
  <si>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</si>
  <si>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</si>
  <si>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</si>
  <si>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</si>
  <si>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</si>
  <si>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</si>
  <si>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</si>
  <si>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</si>
  <si>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</si>
  <si>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</si>
  <si>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</si>
  <si>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</si>
  <si>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</si>
  <si>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</si>
  <si>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</si>
  <si>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</si>
  <si>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</si>
  <si>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</si>
  <si>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</si>
  <si>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</si>
  <si>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</si>
  <si>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</si>
  <si>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</si>
  <si>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</si>
  <si>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</si>
  <si>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</si>
  <si>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</si>
  <si>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</si>
  <si>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</si>
  <si>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</si>
  <si>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</si>
  <si>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</si>
  <si>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</si>
  <si>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</si>
  <si>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</si>
  <si>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</si>
  <si>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</si>
  <si>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</si>
  <si>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</si>
  <si>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</si>
  <si>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</si>
  <si>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</si>
  <si>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</si>
  <si>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</si>
  <si>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</si>
  <si>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</si>
  <si>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</si>
  <si>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</si>
  <si>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</si>
  <si>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</si>
  <si>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</si>
  <si>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</si>
  <si>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</si>
  <si>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</si>
  <si>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</si>
  <si>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</si>
  <si>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</si>
  <si>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</si>
  <si>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</si>
  <si>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</si>
  <si>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</si>
  <si>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</si>
  <si>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</si>
  <si>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</si>
  <si>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</si>
  <si>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</si>
  <si>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</si>
  <si>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</si>
  <si>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103-405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</si>
  <si>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</si>
  <si>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</si>
  <si>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</si>
  <si>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</si>
  <si>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</si>
  <si>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</si>
  <si>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</si>
  <si>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</si>
  <si>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</si>
  <si>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</si>
  <si>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</si>
  <si>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</si>
  <si>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</si>
  <si>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</si>
  <si>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</si>
  <si>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</si>
  <si>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</si>
  <si>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</si>
  <si>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</si>
  <si>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</si>
  <si>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</si>
  <si>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</si>
  <si>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</si>
  <si>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</si>
  <si>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</si>
  <si>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</si>
  <si>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</si>
  <si>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</si>
  <si>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</si>
  <si>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</si>
  <si>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</si>
  <si>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</si>
  <si>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</si>
  <si>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</si>
  <si>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</si>
  <si>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</si>
  <si>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</si>
  <si>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</si>
  <si>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</si>
  <si>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</si>
  <si>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</si>
  <si>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</si>
  <si>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</si>
  <si>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</si>
  <si>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</si>
  <si>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</si>
  <si>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</si>
  <si>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</si>
  <si>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</si>
  <si>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</si>
  <si>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</si>
  <si>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</si>
  <si>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</si>
  <si>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</si>
  <si>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</si>
  <si>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</si>
  <si>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</si>
  <si>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</si>
  <si>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</si>
  <si>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</si>
  <si>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</si>
  <si>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</si>
  <si>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</si>
  <si>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</si>
  <si>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103-405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</si>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</sst>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9A5A4CCE-5E48-4134-B034-100D6912B43A}"/>
    <cellStyle name="쉼표 [0] 2 84" xfId="24" xr:uid="{85A55111-681B-48C6-9456-4DA964BDB045}"/>
    <cellStyle name="쉼표 [0] 3" xfId="14" xr:uid="{8F7BE219-40E1-4BBB-A9BD-02188B74B2A3}"/>
    <cellStyle name="쉼표 [0] 4" xfId="21" xr:uid="{CC18663B-611A-422B-9DDD-DE0A14FFBAAD}"/>
    <cellStyle name="쉼표 [0] 5" xfId="23" xr:uid="{96B01A7E-3A06-4BC6-B504-AFB40C47A2D2}"/>
    <cellStyle name="통화 [0] 2 2" xfId="10" xr:uid="{00000000-0005-0000-0000-000007000000}"/>
    <cellStyle name="표준" xfId="0" builtinId="0"/>
    <cellStyle name="표준 10 10 2" xfId="3" xr:uid="{00000000-0005-0000-0000-000009000000}"/>
    <cellStyle name="표준 10 2" xfId="18" xr:uid="{F6070713-E08B-470D-BFFE-87ECFE4C304B}"/>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3DCC3A44-1060-4C3F-80F3-1E73B9539027}"/>
    <cellStyle name="표준_P456 공장 및 복지동 전면 유리창 청소건 라상혁님_1129(최종)" xfId="20" xr:uid="{C24C233B-378B-49FF-9ECF-8115A4F536DC}"/>
    <cellStyle name="표준_S&amp;D_MAIN VALVE_최빈_2" xfId="17" xr:uid="{C07780C7-F162-4A83-8EB5-8867D236C9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F9C794D3-6FE6-48A3-9E49-548BE24B161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32BAF39-63FB-456E-B1A4-1042E110E62F}">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5FC3-3A5B-447F-A5FE-14922B2B23BC}">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250"/>
      <c r="B1" s="251"/>
      <c r="C1" s="251"/>
      <c r="D1" s="251"/>
      <c r="E1" s="251"/>
      <c r="F1" s="251"/>
      <c r="G1" s="251"/>
      <c r="H1" s="251"/>
      <c r="I1" s="251"/>
      <c r="J1" s="251"/>
      <c r="K1" s="251"/>
      <c r="L1" s="251"/>
      <c r="M1" s="251"/>
      <c r="N1" s="251"/>
      <c r="O1" s="252"/>
    </row>
    <row r="2" spans="1:15" ht="9.75" customHeight="1" x14ac:dyDescent="0.3">
      <c r="A2" s="100"/>
      <c r="B2" s="101"/>
      <c r="C2" s="101"/>
      <c r="D2" s="101"/>
      <c r="E2" s="101"/>
      <c r="F2" s="101"/>
      <c r="G2" s="101"/>
      <c r="H2" s="101"/>
      <c r="I2" s="101"/>
      <c r="J2" s="101"/>
      <c r="K2" s="101"/>
      <c r="L2" s="101"/>
      <c r="M2" s="101"/>
      <c r="N2" s="101"/>
      <c r="O2" s="102"/>
    </row>
    <row r="3" spans="1:15" ht="45" x14ac:dyDescent="0.3">
      <c r="A3" s="253" t="s">
        <v>103</v>
      </c>
      <c r="B3" s="254"/>
      <c r="C3" s="254"/>
      <c r="D3" s="254"/>
      <c r="E3" s="254"/>
      <c r="F3" s="254"/>
      <c r="G3" s="254"/>
      <c r="H3" s="254"/>
      <c r="I3" s="254"/>
      <c r="J3" s="254"/>
      <c r="K3" s="254"/>
      <c r="L3" s="254"/>
      <c r="M3" s="254"/>
      <c r="N3" s="254"/>
      <c r="O3" s="255"/>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256" t="s">
        <v>105</v>
      </c>
      <c r="B7" s="257"/>
      <c r="C7" s="258"/>
      <c r="D7" s="166">
        <v>2026</v>
      </c>
      <c r="E7" s="116" t="s">
        <v>106</v>
      </c>
      <c r="F7" s="167">
        <v>1</v>
      </c>
      <c r="G7" s="116" t="s">
        <v>107</v>
      </c>
      <c r="H7" s="167">
        <v>17</v>
      </c>
      <c r="I7" s="116" t="s">
        <v>108</v>
      </c>
      <c r="J7" s="117"/>
      <c r="K7" s="259" t="s">
        <v>109</v>
      </c>
      <c r="L7" s="118" t="s">
        <v>110</v>
      </c>
      <c r="M7" s="118" t="s">
        <v>111</v>
      </c>
      <c r="N7" s="118" t="s">
        <v>112</v>
      </c>
      <c r="O7" s="119" t="s">
        <v>113</v>
      </c>
    </row>
    <row r="8" spans="1:15" ht="23.25" customHeight="1" x14ac:dyDescent="0.3">
      <c r="A8" s="262" t="s">
        <v>114</v>
      </c>
      <c r="B8" s="263"/>
      <c r="C8" s="264"/>
      <c r="D8" s="265" t="s">
        <v>115</v>
      </c>
      <c r="E8" s="266"/>
      <c r="F8" s="266"/>
      <c r="G8" s="267"/>
      <c r="H8" s="268" t="s">
        <v>116</v>
      </c>
      <c r="I8" s="266"/>
      <c r="J8" s="269"/>
      <c r="K8" s="260"/>
      <c r="L8" s="120" t="s">
        <v>117</v>
      </c>
      <c r="M8" s="120" t="s">
        <v>118</v>
      </c>
      <c r="N8" s="120" t="s">
        <v>119</v>
      </c>
      <c r="O8" s="121" t="s">
        <v>120</v>
      </c>
    </row>
    <row r="9" spans="1:15" ht="23.25" customHeight="1" x14ac:dyDescent="0.3">
      <c r="A9" s="262" t="s">
        <v>121</v>
      </c>
      <c r="B9" s="263"/>
      <c r="C9" s="264"/>
      <c r="D9" s="270" t="s">
        <v>122</v>
      </c>
      <c r="E9" s="271"/>
      <c r="F9" s="271"/>
      <c r="G9" s="271"/>
      <c r="H9" s="271"/>
      <c r="I9" s="271"/>
      <c r="J9" s="272"/>
      <c r="K9" s="260"/>
      <c r="L9" s="120" t="s">
        <v>123</v>
      </c>
      <c r="M9" s="273" t="s">
        <v>124</v>
      </c>
      <c r="N9" s="263"/>
      <c r="O9" s="264"/>
    </row>
    <row r="10" spans="1:15" ht="23.25" customHeight="1" thickBot="1" x14ac:dyDescent="0.35">
      <c r="A10" s="274" t="s">
        <v>125</v>
      </c>
      <c r="B10" s="275"/>
      <c r="C10" s="276"/>
      <c r="D10" s="277" t="s">
        <v>126</v>
      </c>
      <c r="E10" s="278"/>
      <c r="F10" s="278"/>
      <c r="G10" s="278"/>
      <c r="H10" s="278"/>
      <c r="I10" s="278"/>
      <c r="J10" s="279"/>
      <c r="K10" s="261"/>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249" t="s">
        <v>167</v>
      </c>
      <c r="C13" s="249"/>
      <c r="D13" s="249"/>
      <c r="E13" s="249"/>
      <c r="F13" s="249"/>
      <c r="G13" s="249"/>
      <c r="H13" s="249"/>
      <c r="I13" s="249"/>
      <c r="J13" s="249"/>
      <c r="K13" s="249"/>
      <c r="L13" s="249"/>
      <c r="M13" s="249"/>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32" t="str">
        <f>"견 적 금 액 : 一金"&amp;NUMBERSTRING(M32,1) &amp; "원정""(\"&amp; TEXT(M32,"#,###")&amp;"원) [VAT 별도]"</f>
        <v>견 적 금 액 : 一金오백칠십구만이천일백원정"(\5,792,100원) [VAT 별도]</v>
      </c>
      <c r="C15" s="232"/>
      <c r="D15" s="232"/>
      <c r="E15" s="232"/>
      <c r="F15" s="232"/>
      <c r="G15" s="232"/>
      <c r="H15" s="232"/>
      <c r="I15" s="232"/>
      <c r="J15" s="232"/>
      <c r="K15" s="232"/>
      <c r="L15" s="232"/>
      <c r="M15" s="232"/>
      <c r="N15" s="232"/>
      <c r="O15" s="233"/>
    </row>
    <row r="16" spans="1:15" ht="15" thickBot="1" x14ac:dyDescent="0.35">
      <c r="A16" s="128"/>
      <c r="B16" s="127"/>
      <c r="C16" s="127"/>
      <c r="D16" s="127"/>
      <c r="E16" s="127"/>
      <c r="F16" s="127"/>
      <c r="G16" s="127"/>
      <c r="H16" s="127"/>
      <c r="I16" s="110"/>
      <c r="J16" s="110"/>
      <c r="K16" s="234"/>
      <c r="L16" s="234"/>
      <c r="M16" s="234"/>
      <c r="N16" s="234"/>
      <c r="O16" s="235"/>
    </row>
    <row r="17" spans="1:17" ht="27.75" customHeight="1" thickBot="1" x14ac:dyDescent="0.35">
      <c r="A17" s="132" t="s">
        <v>132</v>
      </c>
      <c r="B17" s="242" t="s">
        <v>133</v>
      </c>
      <c r="C17" s="243"/>
      <c r="D17" s="243"/>
      <c r="E17" s="243"/>
      <c r="F17" s="243"/>
      <c r="G17" s="244"/>
      <c r="H17" s="133" t="s">
        <v>134</v>
      </c>
      <c r="I17" s="134" t="s">
        <v>135</v>
      </c>
      <c r="J17" s="245" t="s">
        <v>136</v>
      </c>
      <c r="K17" s="246"/>
      <c r="L17" s="246"/>
      <c r="M17" s="247"/>
      <c r="N17" s="242" t="s">
        <v>137</v>
      </c>
      <c r="O17" s="248"/>
    </row>
    <row r="18" spans="1:17" ht="28.5" customHeight="1" x14ac:dyDescent="0.3">
      <c r="A18" s="135">
        <v>1</v>
      </c>
      <c r="B18" s="236" t="s">
        <v>42</v>
      </c>
      <c r="C18" s="237"/>
      <c r="D18" s="237"/>
      <c r="E18" s="237"/>
      <c r="F18" s="237"/>
      <c r="G18" s="238"/>
      <c r="H18" s="168">
        <v>1</v>
      </c>
      <c r="I18" s="169" t="s">
        <v>1</v>
      </c>
      <c r="J18" s="239">
        <f>IFERROR(LOOKUP(2, 1/(TRIM('내역서(표준단가)'!O4:O100)&lt;&gt;""), '내역서(표준단가)'!O4:O100), "-")</f>
        <v>953608.99450000003</v>
      </c>
      <c r="K18" s="239"/>
      <c r="L18" s="239"/>
      <c r="M18" s="239"/>
      <c r="N18" s="240"/>
      <c r="O18" s="241"/>
    </row>
    <row r="19" spans="1:17" ht="28.5" customHeight="1" x14ac:dyDescent="0.3">
      <c r="A19" s="136">
        <v>2</v>
      </c>
      <c r="B19" s="216" t="s">
        <v>43</v>
      </c>
      <c r="C19" s="217"/>
      <c r="D19" s="217"/>
      <c r="E19" s="217"/>
      <c r="F19" s="217"/>
      <c r="G19" s="218"/>
      <c r="H19" s="170">
        <v>1</v>
      </c>
      <c r="I19" s="170" t="s">
        <v>1</v>
      </c>
      <c r="J19" s="219">
        <f>IFERROR(LOOKUP(2, 1/(TRIM('내역서(표준단가)'!Q4:Q100)&lt;&gt;""), '내역서(표준단가)'!Q4:Q100), "-")</f>
        <v>3609891.2110119998</v>
      </c>
      <c r="K19" s="220"/>
      <c r="L19" s="220"/>
      <c r="M19" s="221"/>
      <c r="N19" s="222"/>
      <c r="O19" s="223"/>
    </row>
    <row r="20" spans="1:17" ht="28.5" customHeight="1" x14ac:dyDescent="0.3">
      <c r="A20" s="136">
        <v>3</v>
      </c>
      <c r="B20" s="224" t="s">
        <v>138</v>
      </c>
      <c r="C20" s="225"/>
      <c r="D20" s="225"/>
      <c r="E20" s="225"/>
      <c r="F20" s="225"/>
      <c r="G20" s="226"/>
      <c r="H20" s="137">
        <v>1</v>
      </c>
      <c r="I20" s="137" t="s">
        <v>1</v>
      </c>
      <c r="J20" s="227">
        <f>IFERROR(SUM(J21:M29),"-")</f>
        <v>613884.83098482073</v>
      </c>
      <c r="K20" s="228"/>
      <c r="L20" s="228"/>
      <c r="M20" s="229"/>
      <c r="N20" s="230"/>
      <c r="O20" s="231"/>
      <c r="P20" s="138"/>
    </row>
    <row r="21" spans="1:17" ht="28.5" customHeight="1" x14ac:dyDescent="0.3">
      <c r="A21" s="135"/>
      <c r="B21" s="139"/>
      <c r="C21" s="208" t="s">
        <v>139</v>
      </c>
      <c r="D21" s="209"/>
      <c r="E21" s="209"/>
      <c r="F21" s="209"/>
      <c r="G21" s="210"/>
      <c r="H21" s="171">
        <v>1</v>
      </c>
      <c r="I21" s="171" t="s">
        <v>1</v>
      </c>
      <c r="J21" s="211">
        <f>IFERROR(LOOKUP(2, 1/(TRIM('내역서(표준단가)'!S4:S100)&lt;&gt;""), '내역서(표준단가)'!S4:S100) + LOOKUP(2, 1/(TRIM('내역서(표준단가)'!U4:U100)&lt;&gt;""), '내역서(표준단가)'!U4:U100), "-")</f>
        <v>0</v>
      </c>
      <c r="K21" s="212"/>
      <c r="L21" s="212"/>
      <c r="M21" s="213"/>
      <c r="N21" s="214" t="s">
        <v>140</v>
      </c>
      <c r="O21" s="215"/>
    </row>
    <row r="22" spans="1:17" ht="28.5" customHeight="1" x14ac:dyDescent="0.3">
      <c r="A22" s="135"/>
      <c r="B22" s="139"/>
      <c r="C22" s="202" t="s">
        <v>141</v>
      </c>
      <c r="D22" s="203"/>
      <c r="E22" s="203"/>
      <c r="F22" s="203"/>
      <c r="G22" s="204"/>
      <c r="H22" s="140">
        <v>3.11</v>
      </c>
      <c r="I22" s="140" t="s">
        <v>142</v>
      </c>
      <c r="J22" s="205">
        <f>IFERROR((J18+J19)*H22%,"-")</f>
        <v>141924.85639142321</v>
      </c>
      <c r="K22" s="206"/>
      <c r="L22" s="206"/>
      <c r="M22" s="207"/>
      <c r="N22" s="198" t="s">
        <v>143</v>
      </c>
      <c r="O22" s="199"/>
    </row>
    <row r="23" spans="1:17" ht="28.5" customHeight="1" x14ac:dyDescent="0.3">
      <c r="A23" s="135"/>
      <c r="B23" s="139"/>
      <c r="C23" s="202" t="s">
        <v>144</v>
      </c>
      <c r="D23" s="203"/>
      <c r="E23" s="203"/>
      <c r="F23" s="203"/>
      <c r="G23" s="204"/>
      <c r="H23" s="140">
        <v>3.56</v>
      </c>
      <c r="I23" s="140" t="s">
        <v>145</v>
      </c>
      <c r="J23" s="205">
        <f>IFERROR(J19*H23%,"-")</f>
        <v>128512.12711202718</v>
      </c>
      <c r="K23" s="206"/>
      <c r="L23" s="206"/>
      <c r="M23" s="207"/>
      <c r="N23" s="198" t="s">
        <v>146</v>
      </c>
      <c r="O23" s="199"/>
    </row>
    <row r="24" spans="1:17" ht="28.5" customHeight="1" x14ac:dyDescent="0.3">
      <c r="A24" s="135"/>
      <c r="B24" s="139"/>
      <c r="C24" s="202" t="s">
        <v>147</v>
      </c>
      <c r="D24" s="203"/>
      <c r="E24" s="203"/>
      <c r="F24" s="203"/>
      <c r="G24" s="204"/>
      <c r="H24" s="140">
        <v>1.01</v>
      </c>
      <c r="I24" s="140" t="s">
        <v>145</v>
      </c>
      <c r="J24" s="205">
        <f>IFERROR(J19*H24%,"-")</f>
        <v>36459.901231221193</v>
      </c>
      <c r="K24" s="206"/>
      <c r="L24" s="206"/>
      <c r="M24" s="207"/>
      <c r="N24" s="198" t="s">
        <v>148</v>
      </c>
      <c r="O24" s="199"/>
    </row>
    <row r="25" spans="1:17" ht="28.5" customHeight="1" x14ac:dyDescent="0.3">
      <c r="A25" s="135"/>
      <c r="B25" s="139"/>
      <c r="C25" s="202" t="s">
        <v>149</v>
      </c>
      <c r="D25" s="203"/>
      <c r="E25" s="203"/>
      <c r="F25" s="203"/>
      <c r="G25" s="204"/>
      <c r="H25" s="141">
        <v>3.5449999999999999</v>
      </c>
      <c r="I25" s="140" t="s">
        <v>145</v>
      </c>
      <c r="J25" s="205">
        <f>IFERROR(J19*H25%,"-")</f>
        <v>127970.64343037541</v>
      </c>
      <c r="K25" s="206"/>
      <c r="L25" s="206"/>
      <c r="M25" s="207"/>
      <c r="N25" s="198" t="s">
        <v>150</v>
      </c>
      <c r="O25" s="199"/>
      <c r="Q25" s="138"/>
    </row>
    <row r="26" spans="1:17" ht="28.5" customHeight="1" x14ac:dyDescent="0.3">
      <c r="A26" s="135"/>
      <c r="B26" s="139"/>
      <c r="C26" s="202" t="s">
        <v>151</v>
      </c>
      <c r="D26" s="203"/>
      <c r="E26" s="203"/>
      <c r="F26" s="203"/>
      <c r="G26" s="204"/>
      <c r="H26" s="140">
        <v>4.5</v>
      </c>
      <c r="I26" s="140" t="s">
        <v>145</v>
      </c>
      <c r="J26" s="205">
        <f>IFERROR(J19*H26%,"-")</f>
        <v>162445.10449553997</v>
      </c>
      <c r="K26" s="206"/>
      <c r="L26" s="206"/>
      <c r="M26" s="207"/>
      <c r="N26" s="198" t="s">
        <v>152</v>
      </c>
      <c r="O26" s="199"/>
      <c r="Q26" s="142"/>
    </row>
    <row r="27" spans="1:17" ht="28.5" customHeight="1" x14ac:dyDescent="0.3">
      <c r="A27" s="135"/>
      <c r="B27" s="139"/>
      <c r="C27" s="192" t="s">
        <v>153</v>
      </c>
      <c r="D27" s="193"/>
      <c r="E27" s="193"/>
      <c r="F27" s="193"/>
      <c r="G27" s="194"/>
      <c r="H27" s="143">
        <v>12.95</v>
      </c>
      <c r="I27" s="144" t="s">
        <v>145</v>
      </c>
      <c r="J27" s="195">
        <f>IFERROR($H$27*J25%,"-")</f>
        <v>16572.198324233614</v>
      </c>
      <c r="K27" s="196"/>
      <c r="L27" s="196"/>
      <c r="M27" s="197"/>
      <c r="N27" s="198" t="s">
        <v>154</v>
      </c>
      <c r="O27" s="199"/>
    </row>
    <row r="28" spans="1:17" ht="28.5" customHeight="1" x14ac:dyDescent="0.3">
      <c r="A28" s="135"/>
      <c r="B28" s="139"/>
      <c r="C28" s="192" t="s">
        <v>155</v>
      </c>
      <c r="D28" s="193"/>
      <c r="E28" s="193"/>
      <c r="F28" s="193"/>
      <c r="G28" s="194"/>
      <c r="H28" s="143">
        <v>8.1000000000000003E-2</v>
      </c>
      <c r="I28" s="144" t="s">
        <v>145</v>
      </c>
      <c r="J28" s="195" t="str">
        <f>IFERROR(IF(SUM(J21:J27,J18:J19)&gt;=10000000,SUM(J21:J27,J18:J19)*H28%,"-"),"-")</f>
        <v>-</v>
      </c>
      <c r="K28" s="196"/>
      <c r="L28" s="196"/>
      <c r="M28" s="197"/>
      <c r="N28" s="200" t="s">
        <v>156</v>
      </c>
      <c r="O28" s="201"/>
    </row>
    <row r="29" spans="1:17" ht="28.5" customHeight="1" x14ac:dyDescent="0.3">
      <c r="A29" s="145"/>
      <c r="B29" s="146"/>
      <c r="C29" s="172" t="s">
        <v>157</v>
      </c>
      <c r="D29" s="173"/>
      <c r="E29" s="173"/>
      <c r="F29" s="173"/>
      <c r="G29" s="174"/>
      <c r="H29" s="147">
        <v>1</v>
      </c>
      <c r="I29" s="148" t="s">
        <v>158</v>
      </c>
      <c r="J29" s="175">
        <f>34*0</f>
        <v>0</v>
      </c>
      <c r="K29" s="176"/>
      <c r="L29" s="176"/>
      <c r="M29" s="177"/>
      <c r="N29" s="178" t="s">
        <v>159</v>
      </c>
      <c r="O29" s="179"/>
    </row>
    <row r="30" spans="1:17" ht="28.5" customHeight="1" x14ac:dyDescent="0.3">
      <c r="A30" s="145">
        <v>4</v>
      </c>
      <c r="B30" s="146"/>
      <c r="C30" s="172" t="s">
        <v>160</v>
      </c>
      <c r="D30" s="173"/>
      <c r="E30" s="173"/>
      <c r="F30" s="173"/>
      <c r="G30" s="174"/>
      <c r="H30" s="148">
        <v>5</v>
      </c>
      <c r="I30" s="149" t="s">
        <v>161</v>
      </c>
      <c r="J30" s="185">
        <f>IFERROR(IF(ISNUMBER(H30), SUM(J18:M20) * (H30 / 100), "-"), "-")</f>
        <v>258869.25182484105</v>
      </c>
      <c r="K30" s="186"/>
      <c r="L30" s="186"/>
      <c r="M30" s="187"/>
      <c r="N30" s="188" t="s">
        <v>162</v>
      </c>
      <c r="O30" s="189"/>
    </row>
    <row r="31" spans="1:17" ht="28.5" customHeight="1" thickBot="1" x14ac:dyDescent="0.35">
      <c r="A31" s="145">
        <v>5</v>
      </c>
      <c r="B31" s="146"/>
      <c r="C31" s="172" t="s">
        <v>163</v>
      </c>
      <c r="D31" s="173"/>
      <c r="E31" s="173"/>
      <c r="F31" s="173"/>
      <c r="G31" s="174"/>
      <c r="H31" s="148">
        <v>7.5</v>
      </c>
      <c r="I31" s="149" t="s">
        <v>145</v>
      </c>
      <c r="J31" s="175">
        <f>IFERROR(SUM(J18:M20, J30) * (H31 / 100), "-")+-51873</f>
        <v>355846.0716241246</v>
      </c>
      <c r="K31" s="176"/>
      <c r="L31" s="176"/>
      <c r="M31" s="177"/>
      <c r="N31" s="190" t="s">
        <v>164</v>
      </c>
      <c r="O31" s="191"/>
      <c r="Q31" s="150"/>
    </row>
    <row r="32" spans="1:17" ht="28.5" customHeight="1" thickBot="1" x14ac:dyDescent="0.35">
      <c r="A32" s="180" t="s">
        <v>165</v>
      </c>
      <c r="B32" s="181"/>
      <c r="C32" s="181"/>
      <c r="D32" s="181"/>
      <c r="E32" s="181"/>
      <c r="F32" s="181"/>
      <c r="G32" s="181"/>
      <c r="H32" s="181"/>
      <c r="I32" s="182"/>
      <c r="J32" s="151"/>
      <c r="K32" s="152"/>
      <c r="L32" s="152"/>
      <c r="M32" s="153">
        <f>IFERROR(ROUNDDOWN(SUM(J18:M20)+J30+J31,0),"-")</f>
        <v>5792100</v>
      </c>
      <c r="N32" s="183"/>
      <c r="O32" s="184"/>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294" t="s">
        <v>4</v>
      </c>
      <c r="B1" s="294"/>
      <c r="C1" s="294"/>
      <c r="D1" s="294"/>
      <c r="E1" s="294"/>
      <c r="F1" s="294"/>
      <c r="G1" s="294"/>
      <c r="H1" s="294"/>
      <c r="I1" s="294"/>
      <c r="J1" s="294"/>
      <c r="K1" s="294"/>
      <c r="L1" s="294"/>
      <c r="M1" s="294"/>
      <c r="N1" s="294"/>
      <c r="O1" s="294"/>
    </row>
    <row r="2" spans="1:15" ht="15" customHeight="1" x14ac:dyDescent="0.3">
      <c r="A2" s="295" t="s">
        <v>5</v>
      </c>
      <c r="B2" s="296" t="s">
        <v>6</v>
      </c>
      <c r="C2" s="297" t="s">
        <v>3</v>
      </c>
      <c r="D2" s="297" t="s">
        <v>7</v>
      </c>
      <c r="E2" s="299" t="s">
        <v>8</v>
      </c>
      <c r="F2" s="296"/>
      <c r="G2" s="296" t="s">
        <v>9</v>
      </c>
      <c r="H2" s="296"/>
      <c r="I2" s="300" t="s">
        <v>10</v>
      </c>
      <c r="J2" s="301"/>
      <c r="K2" s="300" t="s">
        <v>11</v>
      </c>
      <c r="L2" s="301"/>
      <c r="M2" s="299" t="s">
        <v>12</v>
      </c>
      <c r="N2" s="296"/>
      <c r="O2" s="302" t="s">
        <v>13</v>
      </c>
    </row>
    <row r="3" spans="1:15" ht="15" customHeight="1" x14ac:dyDescent="0.3">
      <c r="A3" s="295"/>
      <c r="B3" s="296"/>
      <c r="C3" s="298"/>
      <c r="D3" s="298"/>
      <c r="E3" s="65" t="s">
        <v>14</v>
      </c>
      <c r="F3" s="65" t="s">
        <v>15</v>
      </c>
      <c r="G3" s="15" t="s">
        <v>14</v>
      </c>
      <c r="H3" s="65" t="s">
        <v>16</v>
      </c>
      <c r="I3" s="65"/>
      <c r="J3" s="65"/>
      <c r="K3" s="15" t="s">
        <v>14</v>
      </c>
      <c r="L3" s="65" t="s">
        <v>16</v>
      </c>
      <c r="M3" s="15" t="s">
        <v>14</v>
      </c>
      <c r="N3" s="65" t="s">
        <v>16</v>
      </c>
      <c r="O3" s="303"/>
    </row>
    <row r="4" spans="1:15" ht="15" customHeight="1" x14ac:dyDescent="0.3">
      <c r="A4" s="292" t="s">
        <v>102</v>
      </c>
      <c r="B4" s="293"/>
      <c r="C4" s="16"/>
      <c r="D4" s="16"/>
      <c r="E4" s="16"/>
      <c r="F4" s="16"/>
      <c r="G4" s="16"/>
      <c r="H4" s="16"/>
      <c r="I4" s="16"/>
      <c r="J4" s="16"/>
      <c r="K4" s="16"/>
      <c r="L4" s="16"/>
      <c r="M4" s="16"/>
      <c r="N4" s="16"/>
      <c r="O4" s="16"/>
    </row>
    <row r="5" spans="1:15" ht="15" customHeight="1" x14ac:dyDescent="0.3">
      <c r="A5" s="310"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304" t="s">
        <v>79</v>
      </c>
    </row>
    <row r="6" spans="1:15" ht="15" customHeight="1" x14ac:dyDescent="0.3">
      <c r="A6" s="311"/>
      <c r="B6" s="17" t="s">
        <v>20</v>
      </c>
      <c r="C6" s="18" t="s">
        <v>19</v>
      </c>
      <c r="D6" s="19">
        <v>40</v>
      </c>
      <c r="E6" s="20">
        <v>1057</v>
      </c>
      <c r="F6" s="20">
        <f t="shared" si="0"/>
        <v>42280</v>
      </c>
      <c r="G6" s="20">
        <v>11617.4</v>
      </c>
      <c r="H6" s="20">
        <f t="shared" si="1"/>
        <v>464696</v>
      </c>
      <c r="I6" s="20"/>
      <c r="J6" s="20"/>
      <c r="K6" s="20"/>
      <c r="L6" s="20"/>
      <c r="M6" s="20"/>
      <c r="N6" s="20">
        <f t="shared" ref="N6:N12" si="2">F6+H6+J6+L6</f>
        <v>506976</v>
      </c>
      <c r="O6" s="305"/>
    </row>
    <row r="7" spans="1:15" ht="15" customHeight="1" x14ac:dyDescent="0.3">
      <c r="A7" s="311"/>
      <c r="B7" s="17" t="s">
        <v>21</v>
      </c>
      <c r="C7" s="18" t="s">
        <v>19</v>
      </c>
      <c r="D7" s="19">
        <v>38</v>
      </c>
      <c r="E7" s="20">
        <v>1057</v>
      </c>
      <c r="F7" s="20">
        <f t="shared" si="0"/>
        <v>40166</v>
      </c>
      <c r="G7" s="20">
        <v>8839.9</v>
      </c>
      <c r="H7" s="20">
        <f t="shared" si="1"/>
        <v>335916.2</v>
      </c>
      <c r="I7" s="20"/>
      <c r="J7" s="20"/>
      <c r="K7" s="20"/>
      <c r="L7" s="20"/>
      <c r="M7" s="20"/>
      <c r="N7" s="20">
        <f t="shared" si="2"/>
        <v>376082.2</v>
      </c>
      <c r="O7" s="305"/>
    </row>
    <row r="8" spans="1:15" ht="15" customHeight="1" x14ac:dyDescent="0.3">
      <c r="A8" s="311"/>
      <c r="B8" s="17" t="s">
        <v>22</v>
      </c>
      <c r="C8" s="18" t="s">
        <v>19</v>
      </c>
      <c r="D8" s="19">
        <v>10</v>
      </c>
      <c r="E8" s="20">
        <v>1057</v>
      </c>
      <c r="F8" s="20">
        <f t="shared" si="0"/>
        <v>10570</v>
      </c>
      <c r="G8" s="20">
        <v>11617.4</v>
      </c>
      <c r="H8" s="20">
        <f t="shared" si="1"/>
        <v>116174</v>
      </c>
      <c r="I8" s="20"/>
      <c r="J8" s="20"/>
      <c r="K8" s="20"/>
      <c r="L8" s="20"/>
      <c r="M8" s="20"/>
      <c r="N8" s="20">
        <f t="shared" si="2"/>
        <v>126744</v>
      </c>
      <c r="O8" s="305"/>
    </row>
    <row r="9" spans="1:15" ht="15" customHeight="1" x14ac:dyDescent="0.3">
      <c r="A9" s="311"/>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305"/>
    </row>
    <row r="10" spans="1:15" ht="15" customHeight="1" x14ac:dyDescent="0.3">
      <c r="A10" s="311"/>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305"/>
    </row>
    <row r="11" spans="1:15" ht="15" customHeight="1" x14ac:dyDescent="0.3">
      <c r="A11" s="311"/>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305"/>
    </row>
    <row r="12" spans="1:15" ht="15" customHeight="1" x14ac:dyDescent="0.3">
      <c r="A12" s="311"/>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305"/>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306"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305"/>
    </row>
    <row r="15" spans="1:15" ht="15" customHeight="1" x14ac:dyDescent="0.3">
      <c r="A15" s="306"/>
      <c r="B15" s="17" t="s">
        <v>29</v>
      </c>
      <c r="C15" s="18" t="s">
        <v>19</v>
      </c>
      <c r="D15" s="60">
        <v>11.7</v>
      </c>
      <c r="E15" s="20">
        <v>10855</v>
      </c>
      <c r="F15" s="59">
        <f>D15*E15</f>
        <v>127003.49999999999</v>
      </c>
      <c r="G15" s="20">
        <v>6668.1</v>
      </c>
      <c r="H15" s="59">
        <f>D15*G15</f>
        <v>78016.77</v>
      </c>
      <c r="I15" s="59"/>
      <c r="J15" s="59"/>
      <c r="K15" s="20"/>
      <c r="L15" s="59"/>
      <c r="M15" s="20"/>
      <c r="N15" s="59">
        <f t="shared" si="3"/>
        <v>205020.27</v>
      </c>
      <c r="O15" s="305"/>
    </row>
    <row r="16" spans="1:15" ht="15" customHeight="1" x14ac:dyDescent="0.3">
      <c r="A16" s="306"/>
      <c r="B16" s="17" t="s">
        <v>30</v>
      </c>
      <c r="C16" s="18" t="s">
        <v>19</v>
      </c>
      <c r="D16" s="60">
        <v>8.5</v>
      </c>
      <c r="E16" s="20">
        <v>10855</v>
      </c>
      <c r="F16" s="59">
        <f>D16*E16</f>
        <v>92267.5</v>
      </c>
      <c r="G16" s="20">
        <v>6668.1</v>
      </c>
      <c r="H16" s="59">
        <f>D16*G16</f>
        <v>56678.850000000006</v>
      </c>
      <c r="I16" s="59"/>
      <c r="J16" s="59"/>
      <c r="K16" s="20"/>
      <c r="L16" s="59"/>
      <c r="M16" s="20"/>
      <c r="N16" s="59">
        <f t="shared" si="3"/>
        <v>148946.35</v>
      </c>
      <c r="O16" s="305"/>
    </row>
    <row r="17" spans="1:15" ht="15" customHeight="1" x14ac:dyDescent="0.3">
      <c r="A17" s="307"/>
      <c r="B17" s="17" t="s">
        <v>31</v>
      </c>
      <c r="C17" s="18" t="s">
        <v>19</v>
      </c>
      <c r="D17" s="60">
        <v>8.4</v>
      </c>
      <c r="E17" s="20">
        <v>10855</v>
      </c>
      <c r="F17" s="59">
        <f>D17*E17</f>
        <v>91182</v>
      </c>
      <c r="G17" s="20">
        <v>6668.1</v>
      </c>
      <c r="H17" s="59">
        <f>D17*G17</f>
        <v>56012.040000000008</v>
      </c>
      <c r="I17" s="59"/>
      <c r="J17" s="59"/>
      <c r="K17" s="20"/>
      <c r="L17" s="59"/>
      <c r="M17" s="20"/>
      <c r="N17" s="59">
        <f t="shared" si="3"/>
        <v>147194.04</v>
      </c>
      <c r="O17" s="308"/>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309"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309"/>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309"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309"/>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O5:O12"/>
    <mergeCell ref="A14:A17"/>
    <mergeCell ref="O14:O17"/>
    <mergeCell ref="A21:A22"/>
    <mergeCell ref="A23:A24"/>
    <mergeCell ref="A5:A12"/>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2026-01-18T06:48:09Z</dcterms:modified>
</cp:coreProperties>
</file>
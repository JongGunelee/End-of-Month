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12월\02 화학\13 기숙사 B동 202-1호외 5세대 도배 및 기타작업\"/>
    </mc:Choice>
  </mc:AlternateContent>
  <xr:revisionPtr revIDLastSave="0" documentId="13_ncr:1_{861A9F27-724A-49F0-B4CE-15AC21E4F4CB}" xr6:coauthVersionLast="47" xr6:coauthVersionMax="47" xr10:uidLastSave="{00000000-0000-0000-0000-000000000000}"/>
  <bookViews>
    <workbookView xWindow="14355" yWindow="0" windowWidth="14490" windowHeight="16245" firstSheet="2" activeTab="4" xr2:uid="{00000000-000D-0000-FFFF-FFFF00000000}"/>
  </bookViews>
  <sheets>
    <sheet name="갑지" sheetId="5" r:id="rId1"/>
    <sheet name="내역서(표준단가)" sheetId="4" r:id="rId2"/>
    <sheet name="상세내역" sheetId="9" r:id="rId3"/>
    <sheet name="시중가 근거서류" sheetId="14" r:id="rId4"/>
    <sheet name="Upload" sheetId="13" r:id="rId5"/>
    <sheet name="Upload-rrr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H31" i="9"/>
  <c r="F31" i="9"/>
  <c r="H29" i="9"/>
  <c r="N29" i="9" s="1"/>
  <c r="H28" i="9"/>
  <c r="F28" i="9"/>
  <c r="N31" i="9" l="1"/>
  <c r="N28" i="9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U6" i="4" l="1"/>
  <c r="S6" i="4"/>
  <c r="Q6" i="4"/>
  <c r="O6" i="4"/>
  <c r="U5" i="4"/>
  <c r="S5" i="4"/>
  <c r="Q5" i="4"/>
  <c r="O5" i="4"/>
  <c r="V6" i="4" l="1"/>
  <c r="V5" i="4"/>
  <c r="O15" i="4"/>
  <c r="V15" i="4" s="1"/>
  <c r="O13" i="4"/>
  <c r="V13" i="4" s="1"/>
  <c r="Q12" i="4"/>
  <c r="Q14" i="4"/>
  <c r="V14" i="4" s="1"/>
  <c r="Q10" i="4"/>
  <c r="O10" i="4"/>
  <c r="Q11" i="4"/>
  <c r="O12" i="4"/>
  <c r="O11" i="4"/>
  <c r="H24" i="9"/>
  <c r="N24" i="9" s="1"/>
  <c r="H18" i="9"/>
  <c r="N18" i="9" s="1"/>
  <c r="H23" i="9"/>
  <c r="N23" i="9" s="1"/>
  <c r="F22" i="9"/>
  <c r="N22" i="9" s="1"/>
  <c r="F21" i="9"/>
  <c r="N21" i="9" s="1"/>
  <c r="H17" i="9"/>
  <c r="N17" i="9" s="1"/>
  <c r="F16" i="9"/>
  <c r="N16" i="9" s="1"/>
  <c r="H12" i="9"/>
  <c r="N12" i="9" s="1"/>
  <c r="F11" i="9"/>
  <c r="N11" i="9" s="1"/>
  <c r="H20" i="9"/>
  <c r="F20" i="9"/>
  <c r="H15" i="9"/>
  <c r="F15" i="9"/>
  <c r="H10" i="9"/>
  <c r="F10" i="9"/>
  <c r="H8" i="9"/>
  <c r="N8" i="9" s="1"/>
  <c r="F7" i="9"/>
  <c r="N7" i="9" s="1"/>
  <c r="O9" i="4"/>
  <c r="V9" i="4" s="1"/>
  <c r="O8" i="4"/>
  <c r="V8" i="4" s="1"/>
  <c r="V12" i="4" l="1"/>
  <c r="V10" i="4"/>
  <c r="V11" i="4"/>
  <c r="N20" i="9"/>
  <c r="N15" i="9"/>
  <c r="N10" i="9"/>
  <c r="H26" i="9"/>
  <c r="N26" i="9" s="1"/>
  <c r="F25" i="9"/>
  <c r="N25" i="9" s="1"/>
  <c r="U7" i="4" l="1"/>
  <c r="S7" i="4"/>
  <c r="Q7" i="4"/>
  <c r="O7" i="4"/>
  <c r="F13" i="9"/>
  <c r="N13" i="9" s="1"/>
  <c r="V7" i="4" l="1"/>
  <c r="H6" i="9"/>
  <c r="H32" i="9" s="1"/>
  <c r="F6" i="9"/>
  <c r="F32" i="9" s="1"/>
  <c r="N6" i="9" l="1"/>
  <c r="N32" i="9" s="1"/>
  <c r="F2" i="1"/>
  <c r="E2" i="1"/>
  <c r="D2" i="1"/>
  <c r="C2" i="1"/>
  <c r="B2" i="1"/>
  <c r="A5" i="4" l="1"/>
  <c r="A2" i="1" s="1"/>
  <c r="L32" i="9" l="1"/>
  <c r="J32" i="9"/>
  <c r="Q16" i="4" l="1"/>
  <c r="F17" i="5" s="1"/>
  <c r="U16" i="4" l="1"/>
  <c r="O16" i="4"/>
  <c r="F16" i="5" s="1"/>
  <c r="F26" i="5" s="1"/>
  <c r="S16" i="4"/>
  <c r="F18" i="5" l="1"/>
  <c r="V16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<sst xmlns="http://schemas.openxmlformats.org/spreadsheetml/2006/main" count="248" uniqueCount="179">
  <si>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</si>
  <si>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</si>
  <si>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</si>
  <si>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</si>
  <si>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</si>
  <si>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</si>
  <si>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</si>
  <si>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</si>
  <si>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</si>
  <si>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</si>
  <si>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</si>
  <si>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</si>
  <si>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</si>
  <si>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</si>
  <si>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</si>
  <si>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</si>
  <si>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</si>
  <si>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</si>
  <si>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</si>
  <si>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</si>
  <si>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</si>
  <si>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</si>
  <si>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</si>
  <si>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</si>
  <si>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</si>
  <si>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</si>
  <si>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</si>
  <si>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</si>
  <si>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</si>
  <si>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</si>
  <si>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</si>
  <si>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</si>
  <si>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</si>
  <si>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</si>
  <si>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</si>
  <si>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</si>
  <si>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</si>
  <si>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</si>
  <si>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</si>
  <si>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</si>
  <si>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</si>
  <si>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</si>
  <si>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</si>
  <si>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</si>
  <si>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</si>
  <si>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</si>
  <si>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</si>
  <si>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단위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</si>
  <si>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</si>
  <si>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</si>
  <si>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</si>
  <si>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</si>
  <si>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</si>
  <si>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</si>
  <si>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</si>
  <si>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</si>
  <si>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</si>
  <si>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</si>
  <si>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</si>
  <si>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 xml:space="preserve"> 내   역   서</t>
    <phoneticPr fontId="14" type="noConversion"/>
  </si>
  <si>
    <t>품        명</t>
    <phoneticPr fontId="14" type="noConversion"/>
  </si>
  <si>
    <t>규      격</t>
  </si>
  <si>
    <t>수 량</t>
    <phoneticPr fontId="14" type="noConversion"/>
  </si>
  <si>
    <t xml:space="preserve">재    료   비   </t>
    <phoneticPr fontId="14" type="noConversion"/>
  </si>
  <si>
    <t>노   무   비</t>
    <phoneticPr fontId="14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</si>
  <si>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</si>
  <si>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</si>
  <si>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4" type="noConversion"/>
  </si>
  <si>
    <t>비  고</t>
    <phoneticPr fontId="14" type="noConversion"/>
  </si>
  <si>
    <t>단   가</t>
    <phoneticPr fontId="14" type="noConversion"/>
  </si>
  <si>
    <t>금     액</t>
    <phoneticPr fontId="14" type="noConversion"/>
  </si>
  <si>
    <t>금    액</t>
    <phoneticPr fontId="14" type="noConversion"/>
  </si>
  <si>
    <t>㎡</t>
    <phoneticPr fontId="14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</si>
  <si>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</si>
  <si>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</si>
  <si>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</si>
  <si>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</si>
  <si>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</si>
  <si>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</si>
  <si>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</si>
  <si>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</si>
  <si>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</si>
  <si>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</si>
  <si>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</si>
  <si>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</si>
  <si>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</si>
  <si>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</si>
  <si>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</si>
  <si>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</si>
  <si>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</si>
  <si>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</si>
  <si>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</si>
  <si>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</si>
  <si>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</si>
  <si>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</si>
  <si>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합 계</t>
    <phoneticPr fontId="6" type="noConversion"/>
  </si>
  <si>
    <t>노무비할증</t>
    <phoneticPr fontId="6" type="noConversion"/>
  </si>
  <si>
    <t> (재료비+노무비)*3.11%</t>
    <phoneticPr fontId="14" type="noConversion"/>
  </si>
  <si>
    <t>M020853710050101</t>
  </si>
  <si>
    <t>아이리스</t>
  </si>
  <si>
    <t>R/L</t>
  </si>
  <si>
    <t>1.B202-1</t>
    <phoneticPr fontId="6" type="noConversion"/>
  </si>
  <si>
    <t>2.B202-5</t>
    <phoneticPr fontId="6" type="noConversion"/>
  </si>
  <si>
    <t>화장실문옆 석고보드 들뜸보수</t>
    <phoneticPr fontId="6" type="noConversion"/>
  </si>
  <si>
    <t>도배</t>
    <phoneticPr fontId="14" type="noConversion"/>
  </si>
  <si>
    <t>부분도배(화장실문옆 벽-찢어짐), 벽면</t>
    <phoneticPr fontId="14" type="noConversion"/>
  </si>
  <si>
    <t>버티컬 교체</t>
    <phoneticPr fontId="6" type="noConversion"/>
  </si>
  <si>
    <t xml:space="preserve">부분 도배(벽-얼룩짐), </t>
    <phoneticPr fontId="6" type="noConversion"/>
  </si>
  <si>
    <t>벽체 단열재 들뜸 재시공</t>
    <phoneticPr fontId="6" type="noConversion"/>
  </si>
  <si>
    <t>버티칼블라인드</t>
  </si>
  <si>
    <t>M2</t>
  </si>
  <si>
    <t>M020852810150101</t>
  </si>
  <si>
    <t>방염, 기본면적: 2㎡</t>
  </si>
  <si>
    <t>㎡</t>
  </si>
  <si>
    <t>게이트맨 와이드 VIENA</t>
    <phoneticPr fontId="6" type="noConversion"/>
  </si>
  <si>
    <t>EA</t>
    <phoneticPr fontId="8" type="noConversion"/>
  </si>
  <si>
    <t>보통인부</t>
    <phoneticPr fontId="6" type="noConversion"/>
  </si>
  <si>
    <t>인</t>
    <phoneticPr fontId="8" type="noConversion"/>
  </si>
  <si>
    <t>디지털도어락 교체</t>
    <phoneticPr fontId="6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</si>
  <si>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</si>
  <si>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</si>
  <si>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</si>
  <si>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</si>
  <si>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</si>
  <si>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</si>
  <si>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</si>
  <si>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</si>
  <si>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</si>
  <si>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</si>
  <si>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</si>
  <si>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</si>
  <si>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</si>
  <si>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</si>
  <si>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</si>
  <si>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</si>
  <si>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영선,건축</t>
    <phoneticPr fontId="6" type="noConversion"/>
  </si>
  <si>
    <r>
      <t xml:space="preserve">디지털 도어락, </t>
    </r>
    <r>
      <rPr>
        <sz val="10"/>
        <color rgb="FFFF0000"/>
        <rFont val="LG스마트체 Regular"/>
        <family val="3"/>
        <charset val="129"/>
      </rPr>
      <t>세금계산서 첨부예정</t>
    </r>
    <phoneticPr fontId="6" type="noConversion"/>
  </si>
  <si>
    <t>EA</t>
    <phoneticPr fontId="6" type="noConversion"/>
  </si>
  <si>
    <t>M020690710060101</t>
  </si>
  <si>
    <t>매</t>
  </si>
  <si>
    <t>M020691410070101</t>
  </si>
  <si>
    <t>준내수, 2.7, 1,220, 2,440</t>
  </si>
  <si>
    <t>M020252912050101</t>
  </si>
  <si>
    <t>롤스크린(단면암막) B202-5호</t>
    <phoneticPr fontId="6" type="noConversion"/>
  </si>
  <si>
    <t>12.5T× 900×2,400</t>
    <phoneticPr fontId="6" type="noConversion"/>
  </si>
  <si>
    <t>석고평보드, 12.5T× 900×2,400</t>
    <phoneticPr fontId="6" type="noConversion"/>
  </si>
  <si>
    <t>매</t>
    <phoneticPr fontId="6" type="noConversion"/>
  </si>
  <si>
    <t xml:space="preserve">1액형 실리콘, 다목적건축죠인트실링용(300㎖) </t>
    <phoneticPr fontId="6" type="noConversion"/>
  </si>
  <si>
    <t xml:space="preserve">코레실 SL8061액형 실리콘, 다목적건축죠인트실링용(300㎖) </t>
    <phoneticPr fontId="6" type="noConversion"/>
  </si>
  <si>
    <t>Ctg</t>
    <phoneticPr fontId="6" type="noConversion"/>
  </si>
  <si>
    <t>특별인부</t>
    <phoneticPr fontId="6" type="noConversion"/>
  </si>
  <si>
    <t>인</t>
    <phoneticPr fontId="6" type="noConversion"/>
  </si>
  <si>
    <t>부분 도배(벽-찢어짐)</t>
    <phoneticPr fontId="6" type="noConversion"/>
  </si>
  <si>
    <t>보통합판, 준내수, 2.7, 1,220, 2,440</t>
    <phoneticPr fontId="6" type="noConversion"/>
  </si>
  <si>
    <t>L003</t>
  </si>
  <si>
    <t>L002</t>
  </si>
  <si>
    <t>도어보수 2개소(방, 화장실)</t>
    <phoneticPr fontId="6" type="noConversion"/>
  </si>
  <si>
    <t>3.B203-1</t>
    <phoneticPr fontId="6" type="noConversion"/>
  </si>
  <si>
    <t>4.B204-2</t>
    <phoneticPr fontId="6" type="noConversion"/>
  </si>
  <si>
    <t>시중노임단가,특별인부</t>
    <phoneticPr fontId="6" type="noConversion"/>
  </si>
  <si>
    <t>시중노임단가,보통인부</t>
    <phoneticPr fontId="6" type="noConversion"/>
  </si>
  <si>
    <t>시중노임단가, B204-2, 단열재 들뜸보수 1개소</t>
    <phoneticPr fontId="6" type="noConversion"/>
  </si>
  <si>
    <t>디지털 도어록 교체,  B204-2</t>
    <phoneticPr fontId="6" type="noConversion"/>
  </si>
  <si>
    <t>EA</t>
    <phoneticPr fontId="6" type="noConversion"/>
  </si>
  <si>
    <t>B204-2, 보통합판</t>
    <phoneticPr fontId="6" type="noConversion"/>
  </si>
  <si>
    <t>B202-1,B202-5,B203-1,석고평보드</t>
    <phoneticPr fontId="6" type="noConversion"/>
  </si>
  <si>
    <t>시중노임단가, B202-1,B202-5,B203-1벽체보수3개소</t>
    <phoneticPr fontId="6" type="noConversion"/>
  </si>
  <si>
    <t>B204-2, 단열재 들뜸보수, 코레실 SL806</t>
    <phoneticPr fontId="6" type="noConversion"/>
  </si>
  <si>
    <t xml:space="preserve">디지털 도어록 </t>
    <phoneticPr fontId="6" type="noConversion"/>
  </si>
  <si>
    <t>시중가, 세금계산서 첨부 예정</t>
    <phoneticPr fontId="6" type="noConversion"/>
  </si>
  <si>
    <t>5.B301-6</t>
    <phoneticPr fontId="6" type="noConversion"/>
  </si>
  <si>
    <t>도어보수 개소(화장실)</t>
    <phoneticPr fontId="6" type="noConversion"/>
  </si>
  <si>
    <t>6.B402-2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</si>
  <si>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소요량120/16.51=7.2684R/L</t>
    </r>
    <phoneticPr fontId="6" type="noConversion"/>
  </si>
  <si>
    <t>일당 시공량-벽 46㎡, 적산정보 500p 참조,시공총량120/일당46=20.6087</t>
    <phoneticPr fontId="6" type="noConversion"/>
  </si>
  <si>
    <t xml:space="preserve">B203-1,B204-2 도어보수 4개소+B301-6, 1개소 </t>
    <phoneticPr fontId="6" type="noConversion"/>
  </si>
  <si>
    <t xml:space="preserve"> 견적일 : 2025 년  11월  11일</t>
    <phoneticPr fontId="12" type="noConversion"/>
  </si>
  <si>
    <t xml:space="preserve"> 공사명 : 기숙사 B동 202-1호외 5세대 도배보수 외</t>
    <phoneticPr fontId="12" type="noConversion"/>
  </si>
  <si>
    <t>기숙사 B동 202-1호외 5세대 도배보수 외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</si>
</sst>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0.000_ "/>
    <numFmt numFmtId="189" formatCode="#,##0;\-#,##0;"/>
    <numFmt numFmtId="190" formatCode="0.000"/>
    <numFmt numFmtId="191" formatCode="_-* #,##0.0_-;\-* #,##0.0_-;_-* &quot;-&quot;_-;_-@_-"/>
    <numFmt numFmtId="192" formatCode="0.0_);[Red]\(0.0\)"/>
  </numFmts>
  <fonts count="3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sz val="10"/>
      <color rgb="FFFF0000"/>
      <name val="LG스마트체 Regular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10"/>
      <color rgb="FF000000"/>
      <name val="Segoe UI Symbol"/>
      <family val="3"/>
    </font>
    <font>
      <sz val="10"/>
      <color rgb="FFFF0000"/>
      <name val="Malgun Gothic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1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97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1" fillId="0" borderId="0" xfId="0" applyFont="1">
      <alignment vertical="center"/>
    </xf>
    <xf numFmtId="183" fontId="26" fillId="0" borderId="31" xfId="15" quotePrefix="1" applyNumberFormat="1" applyFont="1" applyBorder="1" applyAlignment="1">
      <alignment horizontal="center" vertical="center"/>
    </xf>
    <xf numFmtId="177" fontId="25" fillId="0" borderId="31" xfId="13" applyFont="1" applyBorder="1" applyAlignment="1">
      <alignment vertical="center"/>
    </xf>
    <xf numFmtId="185" fontId="25" fillId="10" borderId="31" xfId="13" applyNumberFormat="1" applyFont="1" applyFill="1" applyBorder="1" applyAlignment="1">
      <alignment horizontal="center" vertical="center"/>
    </xf>
    <xf numFmtId="177" fontId="25" fillId="10" borderId="31" xfId="13" applyFont="1" applyFill="1" applyBorder="1" applyAlignment="1">
      <alignment horizontal="center" vertical="center"/>
    </xf>
    <xf numFmtId="186" fontId="25" fillId="10" borderId="31" xfId="13" applyNumberFormat="1" applyFont="1" applyFill="1" applyBorder="1" applyAlignment="1">
      <alignment horizontal="center" vertical="center"/>
    </xf>
    <xf numFmtId="183" fontId="25" fillId="10" borderId="31" xfId="13" applyNumberFormat="1" applyFont="1" applyFill="1" applyBorder="1" applyAlignment="1">
      <alignment vertical="center" wrapText="1"/>
    </xf>
    <xf numFmtId="183" fontId="26" fillId="10" borderId="31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49" fontId="20" fillId="7" borderId="3" xfId="0" applyNumberFormat="1" applyFont="1" applyFill="1" applyBorder="1" applyAlignment="1">
      <alignment horizontal="center" vertical="center"/>
    </xf>
    <xf numFmtId="0" fontId="24" fillId="10" borderId="31" xfId="13" applyNumberFormat="1" applyFont="1" applyFill="1" applyBorder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188" fontId="20" fillId="0" borderId="1" xfId="1" applyNumberFormat="1" applyFont="1" applyBorder="1" applyAlignment="1">
      <alignment horizontal="center" vertical="center"/>
    </xf>
    <xf numFmtId="187" fontId="20" fillId="5" borderId="3" xfId="1" applyNumberFormat="1" applyFont="1" applyFill="1" applyBorder="1" applyAlignment="1">
      <alignment horizontal="center" vertical="center"/>
    </xf>
    <xf numFmtId="187" fontId="20" fillId="0" borderId="3" xfId="1" applyNumberFormat="1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26" fillId="0" borderId="31" xfId="15" quotePrefix="1" applyFont="1" applyBorder="1" applyAlignment="1">
      <alignment horizontal="center" vertical="center"/>
    </xf>
    <xf numFmtId="189" fontId="20" fillId="5" borderId="3" xfId="0" applyNumberFormat="1" applyFont="1" applyFill="1" applyBorder="1" applyAlignment="1">
      <alignment horizontal="right" vertical="center" wrapText="1"/>
    </xf>
    <xf numFmtId="189" fontId="20" fillId="6" borderId="3" xfId="1" applyNumberFormat="1" applyFont="1" applyFill="1" applyBorder="1" applyAlignment="1">
      <alignment horizontal="right" vertical="center" wrapText="1"/>
    </xf>
    <xf numFmtId="189" fontId="20" fillId="0" borderId="3" xfId="1" applyNumberFormat="1" applyFont="1" applyFill="1" applyBorder="1" applyAlignment="1">
      <alignment horizontal="right" vertical="center" wrapText="1"/>
    </xf>
    <xf numFmtId="189" fontId="20" fillId="5" borderId="3" xfId="0" applyNumberFormat="1" applyFont="1" applyFill="1" applyBorder="1" applyAlignment="1">
      <alignment horizontal="right" vertical="center"/>
    </xf>
    <xf numFmtId="49" fontId="20" fillId="5" borderId="3" xfId="0" applyNumberFormat="1" applyFont="1" applyFill="1" applyBorder="1" applyAlignment="1">
      <alignment horizontal="center" vertical="center"/>
    </xf>
    <xf numFmtId="190" fontId="20" fillId="5" borderId="3" xfId="1" applyNumberFormat="1" applyFont="1" applyFill="1" applyBorder="1" applyAlignment="1">
      <alignment horizontal="center" vertical="center"/>
    </xf>
    <xf numFmtId="49" fontId="20" fillId="0" borderId="3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177" fontId="25" fillId="0" borderId="0" xfId="0" applyNumberFormat="1" applyFont="1">
      <alignment vertical="center"/>
    </xf>
    <xf numFmtId="0" fontId="23" fillId="11" borderId="0" xfId="0" applyFont="1" applyFill="1">
      <alignment vertical="center"/>
    </xf>
    <xf numFmtId="177" fontId="13" fillId="11" borderId="0" xfId="0" applyNumberFormat="1" applyFont="1" applyFill="1">
      <alignment vertical="center"/>
    </xf>
    <xf numFmtId="0" fontId="24" fillId="0" borderId="0" xfId="0" applyFont="1">
      <alignment vertical="center"/>
    </xf>
    <xf numFmtId="0" fontId="24" fillId="5" borderId="0" xfId="0" applyFont="1" applyFill="1">
      <alignment vertical="center"/>
    </xf>
    <xf numFmtId="189" fontId="20" fillId="5" borderId="3" xfId="1" applyNumberFormat="1" applyFont="1" applyFill="1" applyBorder="1" applyAlignment="1">
      <alignment horizontal="right" vertical="center"/>
    </xf>
    <xf numFmtId="184" fontId="24" fillId="5" borderId="37" xfId="13" applyNumberFormat="1" applyFont="1" applyFill="1" applyBorder="1" applyAlignment="1">
      <alignment vertical="center"/>
    </xf>
    <xf numFmtId="177" fontId="25" fillId="0" borderId="32" xfId="13" applyFont="1" applyBorder="1" applyAlignment="1">
      <alignment vertical="center"/>
    </xf>
    <xf numFmtId="0" fontId="20" fillId="0" borderId="39" xfId="13" applyNumberFormat="1" applyFont="1" applyBorder="1" applyAlignment="1">
      <alignment vertical="center"/>
    </xf>
    <xf numFmtId="185" fontId="25" fillId="0" borderId="39" xfId="13" applyNumberFormat="1" applyFont="1" applyBorder="1" applyAlignment="1">
      <alignment horizontal="center" vertical="center"/>
    </xf>
    <xf numFmtId="177" fontId="25" fillId="0" borderId="39" xfId="13" applyFont="1" applyBorder="1" applyAlignment="1">
      <alignment horizontal="center" vertical="center"/>
    </xf>
    <xf numFmtId="186" fontId="25" fillId="0" borderId="39" xfId="13" applyNumberFormat="1" applyFont="1" applyBorder="1" applyAlignment="1">
      <alignment horizontal="center" vertical="center"/>
    </xf>
    <xf numFmtId="183" fontId="25" fillId="5" borderId="39" xfId="13" applyNumberFormat="1" applyFont="1" applyFill="1" applyBorder="1" applyAlignment="1">
      <alignment horizontal="right" vertical="center" wrapText="1"/>
    </xf>
    <xf numFmtId="0" fontId="24" fillId="0" borderId="39" xfId="13" applyNumberFormat="1" applyFont="1" applyBorder="1" applyAlignment="1">
      <alignment vertical="center"/>
    </xf>
    <xf numFmtId="183" fontId="25" fillId="0" borderId="39" xfId="13" applyNumberFormat="1" applyFont="1" applyBorder="1" applyAlignment="1">
      <alignment horizontal="right" vertical="center" wrapText="1"/>
    </xf>
    <xf numFmtId="183" fontId="20" fillId="0" borderId="39" xfId="13" applyNumberFormat="1" applyFont="1" applyBorder="1" applyAlignment="1">
      <alignment vertical="center" wrapText="1"/>
    </xf>
    <xf numFmtId="189" fontId="20" fillId="5" borderId="3" xfId="1" applyNumberFormat="1" applyFont="1" applyFill="1" applyBorder="1" applyAlignment="1">
      <alignment horizontal="right" vertical="center" wrapText="1"/>
    </xf>
    <xf numFmtId="184" fontId="25" fillId="0" borderId="39" xfId="13" applyNumberFormat="1" applyFont="1" applyBorder="1" applyAlignment="1">
      <alignment horizontal="center" vertical="center"/>
    </xf>
    <xf numFmtId="0" fontId="25" fillId="5" borderId="39" xfId="15" applyFont="1" applyFill="1" applyBorder="1" applyAlignment="1">
      <alignment horizontal="center" vertical="center"/>
    </xf>
    <xf numFmtId="177" fontId="25" fillId="0" borderId="39" xfId="13" applyFont="1" applyBorder="1" applyAlignment="1">
      <alignment vertical="center"/>
    </xf>
    <xf numFmtId="183" fontId="25" fillId="5" borderId="39" xfId="16" applyNumberFormat="1" applyFont="1" applyFill="1" applyBorder="1" applyAlignment="1">
      <alignment vertical="center"/>
    </xf>
    <xf numFmtId="183" fontId="25" fillId="0" borderId="39" xfId="13" applyNumberFormat="1" applyFont="1" applyBorder="1" applyAlignment="1">
      <alignment vertical="center"/>
    </xf>
    <xf numFmtId="49" fontId="20" fillId="2" borderId="40" xfId="0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91" fontId="20" fillId="0" borderId="0" xfId="1" applyNumberFormat="1" applyFont="1" applyFill="1" applyBorder="1" applyAlignment="1">
      <alignment horizontal="center" vertical="center"/>
    </xf>
    <xf numFmtId="177" fontId="20" fillId="0" borderId="0" xfId="1" applyFont="1" applyBorder="1">
      <alignment vertical="center"/>
    </xf>
    <xf numFmtId="49" fontId="20" fillId="5" borderId="0" xfId="0" applyNumberFormat="1" applyFont="1" applyFill="1" applyAlignment="1">
      <alignment horizontal="center" vertical="center" wrapText="1"/>
    </xf>
    <xf numFmtId="184" fontId="25" fillId="0" borderId="0" xfId="13" applyNumberFormat="1" applyFont="1" applyBorder="1" applyAlignment="1">
      <alignment horizontal="center" vertical="center"/>
    </xf>
    <xf numFmtId="185" fontId="25" fillId="0" borderId="41" xfId="13" applyNumberFormat="1" applyFont="1" applyBorder="1" applyAlignment="1">
      <alignment horizontal="center" vertical="center"/>
    </xf>
    <xf numFmtId="177" fontId="25" fillId="0" borderId="41" xfId="13" applyFont="1" applyBorder="1" applyAlignment="1">
      <alignment horizontal="center" vertical="center"/>
    </xf>
    <xf numFmtId="186" fontId="25" fillId="0" borderId="41" xfId="13" applyNumberFormat="1" applyFont="1" applyBorder="1" applyAlignment="1">
      <alignment horizontal="center" vertical="center"/>
    </xf>
    <xf numFmtId="183" fontId="25" fillId="5" borderId="41" xfId="13" applyNumberFormat="1" applyFont="1" applyFill="1" applyBorder="1" applyAlignment="1">
      <alignment horizontal="right" vertical="center" wrapText="1"/>
    </xf>
    <xf numFmtId="0" fontId="25" fillId="5" borderId="39" xfId="0" applyFont="1" applyFill="1" applyBorder="1" applyAlignment="1">
      <alignment horizontal="center" vertical="center"/>
    </xf>
    <xf numFmtId="183" fontId="26" fillId="5" borderId="39" xfId="13" applyNumberFormat="1" applyFont="1" applyFill="1" applyBorder="1" applyAlignment="1">
      <alignment horizontal="right" vertical="center" wrapText="1"/>
    </xf>
    <xf numFmtId="185" fontId="25" fillId="0" borderId="39" xfId="13" applyNumberFormat="1" applyFont="1" applyBorder="1" applyAlignment="1">
      <alignment horizontal="center" vertical="center" wrapText="1"/>
    </xf>
    <xf numFmtId="192" fontId="25" fillId="0" borderId="39" xfId="13" applyNumberFormat="1" applyFont="1" applyBorder="1" applyAlignment="1">
      <alignment horizontal="center" vertical="center" wrapText="1"/>
    </xf>
    <xf numFmtId="184" fontId="26" fillId="5" borderId="42" xfId="13" applyNumberFormat="1" applyFont="1" applyFill="1" applyBorder="1" applyAlignment="1">
      <alignment vertical="center"/>
    </xf>
    <xf numFmtId="177" fontId="25" fillId="0" borderId="38" xfId="13" applyFont="1" applyBorder="1" applyAlignment="1">
      <alignment vertical="center"/>
    </xf>
    <xf numFmtId="186" fontId="21" fillId="0" borderId="0" xfId="0" applyNumberFormat="1" applyFont="1">
      <alignment vertical="center"/>
    </xf>
    <xf numFmtId="192" fontId="21" fillId="0" borderId="0" xfId="0" applyNumberFormat="1" applyFont="1">
      <alignment vertical="center"/>
    </xf>
    <xf numFmtId="0" fontId="29" fillId="7" borderId="3" xfId="0" applyFont="1" applyFill="1" applyBorder="1" applyAlignment="1">
      <alignment horizontal="center" vertical="center"/>
    </xf>
    <xf numFmtId="49" fontId="31" fillId="7" borderId="3" xfId="0" applyNumberFormat="1" applyFont="1" applyFill="1" applyBorder="1" applyAlignment="1">
      <alignment horizontal="center" vertical="center" wrapText="1"/>
    </xf>
    <xf numFmtId="49" fontId="29" fillId="5" borderId="3" xfId="0" applyNumberFormat="1" applyFont="1" applyFill="1" applyBorder="1" applyAlignment="1">
      <alignment horizontal="center" vertical="center"/>
    </xf>
    <xf numFmtId="177" fontId="30" fillId="5" borderId="3" xfId="1" applyFont="1" applyFill="1" applyBorder="1" applyAlignment="1">
      <alignment horizontal="center" vertical="center" wrapText="1"/>
    </xf>
    <xf numFmtId="0" fontId="29" fillId="5" borderId="3" xfId="0" applyFont="1" applyFill="1" applyBorder="1" applyAlignment="1">
      <alignment horizontal="center" vertical="center"/>
    </xf>
    <xf numFmtId="177" fontId="29" fillId="5" borderId="3" xfId="1" applyFont="1" applyFill="1" applyBorder="1" applyAlignment="1">
      <alignment horizontal="center" vertical="center"/>
    </xf>
    <xf numFmtId="49" fontId="29" fillId="5" borderId="3" xfId="0" applyNumberFormat="1" applyFont="1" applyFill="1" applyBorder="1" applyAlignment="1">
      <alignment horizontal="center" vertical="center" wrapText="1"/>
    </xf>
    <xf numFmtId="0" fontId="29" fillId="5" borderId="3" xfId="0" applyFont="1" applyFill="1" applyBorder="1" applyAlignment="1">
      <alignment horizontal="center" vertical="center" wrapText="1"/>
    </xf>
    <xf numFmtId="183" fontId="21" fillId="0" borderId="0" xfId="0" applyNumberFormat="1" applyFont="1">
      <alignment vertical="center"/>
    </xf>
    <xf numFmtId="177" fontId="25" fillId="5" borderId="39" xfId="13" applyFont="1" applyFill="1" applyBorder="1" applyAlignment="1">
      <alignment vertical="center"/>
    </xf>
    <xf numFmtId="0" fontId="33" fillId="5" borderId="3" xfId="0" applyFont="1" applyFill="1" applyBorder="1" applyAlignment="1">
      <alignment horizontal="center" vertical="center"/>
    </xf>
    <xf numFmtId="0" fontId="24" fillId="5" borderId="39" xfId="13" applyNumberFormat="1" applyFont="1" applyFill="1" applyBorder="1" applyAlignment="1">
      <alignment vertical="center"/>
    </xf>
    <xf numFmtId="177" fontId="13" fillId="0" borderId="0" xfId="0" applyNumberFormat="1" applyFont="1">
      <alignment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  <xf numFmtId="184" fontId="24" fillId="5" borderId="33" xfId="13" applyNumberFormat="1" applyFont="1" applyFill="1" applyBorder="1" applyAlignment="1">
      <alignment vertical="center"/>
    </xf>
    <xf numFmtId="184" fontId="26" fillId="5" borderId="34" xfId="13" applyNumberFormat="1" applyFont="1" applyFill="1" applyBorder="1" applyAlignment="1">
      <alignment vertical="center"/>
    </xf>
    <xf numFmtId="0" fontId="22" fillId="0" borderId="30" xfId="15" applyFont="1" applyBorder="1" applyAlignment="1">
      <alignment horizontal="center" vertical="center"/>
    </xf>
    <xf numFmtId="0" fontId="24" fillId="0" borderId="31" xfId="15" quotePrefix="1" applyFont="1" applyBorder="1" applyAlignment="1">
      <alignment horizontal="center" vertical="center"/>
    </xf>
    <xf numFmtId="0" fontId="26" fillId="0" borderId="31" xfId="15" quotePrefix="1" applyFont="1" applyBorder="1" applyAlignment="1">
      <alignment horizontal="center" vertical="center"/>
    </xf>
    <xf numFmtId="0" fontId="26" fillId="0" borderId="32" xfId="15" quotePrefix="1" applyFont="1" applyBorder="1" applyAlignment="1">
      <alignment horizontal="center" vertical="center"/>
    </xf>
    <xf numFmtId="0" fontId="26" fillId="0" borderId="35" xfId="15" quotePrefix="1" applyFont="1" applyBorder="1" applyAlignment="1">
      <alignment horizontal="center" vertical="center"/>
    </xf>
    <xf numFmtId="0" fontId="26" fillId="0" borderId="31" xfId="15" applyFont="1" applyBorder="1" applyAlignment="1">
      <alignment horizontal="center" vertical="center"/>
    </xf>
    <xf numFmtId="0" fontId="26" fillId="0" borderId="33" xfId="15" quotePrefix="1" applyFont="1" applyBorder="1" applyAlignment="1">
      <alignment horizontal="center" vertical="center"/>
    </xf>
    <xf numFmtId="0" fontId="26" fillId="0" borderId="34" xfId="15" quotePrefix="1" applyFont="1" applyBorder="1" applyAlignment="1">
      <alignment horizontal="center" vertical="center"/>
    </xf>
    <xf numFmtId="0" fontId="26" fillId="0" borderId="32" xfId="15" applyFont="1" applyBorder="1" applyAlignment="1">
      <alignment horizontal="center" vertical="center"/>
    </xf>
    <xf numFmtId="0" fontId="26" fillId="0" borderId="35" xfId="15" applyFont="1" applyBorder="1" applyAlignment="1">
      <alignment horizontal="center" vertical="center"/>
    </xf>
  </cellXfs>
  <cellStyles count="2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" xfId="20" xr:uid="{141CB4A6-AD51-4F68-A595-C05C113EC465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ABAB3B17-49F0-44FD-BCBF-671F1EE89880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8</xdr:col>
      <xdr:colOff>19049</xdr:colOff>
      <xdr:row>34</xdr:row>
      <xdr:rowOff>200025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86926BD-866B-40CF-B9A8-597177656A5E}"/>
            </a:ext>
          </a:extLst>
        </xdr:cNvPr>
        <xdr:cNvSpPr/>
      </xdr:nvSpPr>
      <xdr:spPr>
        <a:xfrm>
          <a:off x="0" y="5867400"/>
          <a:ext cx="5972174" cy="41814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게이트맨 와이드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VIENA 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근거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 첨부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예정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D9D11C4-443B-4946-8797-38B6978F99F2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16" zoomScale="85" zoomScaleNormal="85" workbookViewId="0">
      <selection activeCell="B40" sqref="B40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67" t="s">
        <v>6</v>
      </c>
      <c r="B2" s="167"/>
      <c r="C2" s="167"/>
      <c r="D2" s="167"/>
      <c r="E2" s="167"/>
      <c r="F2" s="167"/>
      <c r="G2" s="167"/>
      <c r="H2" s="2"/>
    </row>
    <row r="3" spans="1:9" ht="14.25">
      <c r="A3" s="96"/>
      <c r="B3" s="96"/>
      <c r="C3" s="96"/>
      <c r="D3" s="96"/>
      <c r="E3" s="96"/>
      <c r="F3" s="96"/>
      <c r="G3" s="96"/>
      <c r="H3" s="96"/>
    </row>
    <row r="4" spans="1:9" ht="14.25">
      <c r="A4" s="96"/>
      <c r="B4" s="96"/>
      <c r="C4" s="96"/>
      <c r="D4" s="96"/>
      <c r="E4" s="96"/>
      <c r="H4" s="96"/>
    </row>
    <row r="5" spans="1:9" ht="27" customHeight="1">
      <c r="A5" s="97" t="s">
        <v>48</v>
      </c>
      <c r="B5" s="4"/>
      <c r="C5" s="5"/>
      <c r="D5" s="96"/>
      <c r="E5" s="96"/>
      <c r="F5" s="6" t="s">
        <v>38</v>
      </c>
      <c r="G5" s="7" t="s">
        <v>52</v>
      </c>
      <c r="H5" s="96"/>
    </row>
    <row r="6" spans="1:9" ht="27" customHeight="1">
      <c r="A6" s="96"/>
      <c r="B6" s="96"/>
      <c r="C6" s="96"/>
      <c r="D6" s="96"/>
      <c r="E6" s="96"/>
      <c r="F6" s="8" t="s">
        <v>41</v>
      </c>
      <c r="G6" s="9" t="s">
        <v>53</v>
      </c>
      <c r="H6" s="96"/>
    </row>
    <row r="7" spans="1:9" ht="27" customHeight="1">
      <c r="A7" s="170" t="s">
        <v>177</v>
      </c>
      <c r="B7" s="171"/>
      <c r="C7" s="172"/>
      <c r="D7" s="96"/>
      <c r="E7" s="10"/>
      <c r="F7" s="11" t="s">
        <v>42</v>
      </c>
      <c r="G7" s="9" t="s">
        <v>54</v>
      </c>
      <c r="H7" s="96"/>
    </row>
    <row r="8" spans="1:9" ht="27" customHeight="1">
      <c r="A8" s="96"/>
      <c r="B8" s="96"/>
      <c r="C8" s="96"/>
      <c r="D8" s="96"/>
      <c r="E8" s="96"/>
      <c r="F8" s="8" t="s">
        <v>43</v>
      </c>
      <c r="G8" s="9" t="s">
        <v>55</v>
      </c>
      <c r="H8" s="96"/>
    </row>
    <row r="9" spans="1:9" ht="27" customHeight="1">
      <c r="A9" s="170" t="s">
        <v>176</v>
      </c>
      <c r="B9" s="171"/>
      <c r="C9" s="172"/>
      <c r="D9" s="96"/>
      <c r="E9" s="96"/>
      <c r="F9" s="8" t="s">
        <v>44</v>
      </c>
      <c r="G9" s="9" t="s">
        <v>56</v>
      </c>
      <c r="H9" s="96"/>
    </row>
    <row r="10" spans="1:9" ht="27" customHeight="1">
      <c r="A10" s="96"/>
      <c r="B10" s="96"/>
      <c r="C10" s="96"/>
      <c r="D10" s="96"/>
      <c r="E10" s="96"/>
      <c r="F10" s="12" t="s">
        <v>39</v>
      </c>
      <c r="G10" s="13" t="s">
        <v>57</v>
      </c>
      <c r="H10" s="96"/>
      <c r="I10" s="96"/>
    </row>
    <row r="11" spans="1:9" ht="27" customHeight="1">
      <c r="A11" s="168"/>
      <c r="B11" s="169"/>
      <c r="C11" s="169"/>
      <c r="D11" s="96"/>
      <c r="E11" s="14"/>
      <c r="F11" s="15" t="s">
        <v>40</v>
      </c>
      <c r="G11" s="16" t="s">
        <v>58</v>
      </c>
      <c r="H11" s="14"/>
    </row>
    <row r="12" spans="1:9" ht="18.75" thickBot="1">
      <c r="A12" s="17" t="s">
        <v>7</v>
      </c>
      <c r="B12" s="17" t="str">
        <f>NUMBERSTRING(F31,1)</f>
        <v>삼백이십일만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96"/>
      <c r="B13" s="96"/>
      <c r="C13" s="96"/>
      <c r="D13" s="96"/>
      <c r="E13" s="96"/>
      <c r="F13" s="96"/>
      <c r="G13" s="96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'내역서(표준단가)'!O16</f>
        <v>461626.98259999999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'내역서(표준단가)'!Q16</f>
        <v>2241125.8596019996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'내역서(표준단가)'!S16+'내역서(표준단가)'!U16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2702752.8422019994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100850.66368208997</v>
      </c>
      <c r="G21" s="35" t="s">
        <v>26</v>
      </c>
    </row>
    <row r="22" spans="1:7" ht="33" customHeight="1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79447.911722890887</v>
      </c>
      <c r="G22" s="48" t="s">
        <v>28</v>
      </c>
    </row>
    <row r="23" spans="1:7" ht="33" customHeight="1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10288.504568114371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22635.371181980194</v>
      </c>
      <c r="G24" s="35" t="s">
        <v>28</v>
      </c>
    </row>
    <row r="25" spans="1:7" ht="33" customHeight="1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79784.080601831185</v>
      </c>
      <c r="G25" s="35" t="s">
        <v>28</v>
      </c>
    </row>
    <row r="26" spans="1:7" ht="33" customHeight="1">
      <c r="A26" s="29"/>
      <c r="B26" s="42" t="s">
        <v>32</v>
      </c>
      <c r="C26" s="49" t="s">
        <v>97</v>
      </c>
      <c r="D26" s="30">
        <v>1</v>
      </c>
      <c r="E26" s="30" t="s">
        <v>25</v>
      </c>
      <c r="F26" s="43">
        <f>(F16+F17)*3.11%</f>
        <v>84055.613392482177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130909.40023756943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507971.54538695817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3210724.3875889573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3210000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Y16"/>
  <sheetViews>
    <sheetView showGridLines="0" zoomScale="80" zoomScaleNormal="80" workbookViewId="0">
      <pane ySplit="4" topLeftCell="A5" activePane="bottomLeft" state="frozen"/>
      <selection pane="bottomLeft" activeCell="O13" sqref="O13"/>
    </sheetView>
  </sheetViews>
  <sheetFormatPr defaultColWidth="9" defaultRowHeight="38.1" customHeight="1"/>
  <cols>
    <col min="1" max="1" width="22.625" style="118" bestFit="1" customWidth="1"/>
    <col min="2" max="5" width="4.625" style="118" hidden="1" customWidth="1"/>
    <col min="6" max="6" width="9" style="110" hidden="1" customWidth="1"/>
    <col min="7" max="9" width="12.625" style="110" hidden="1" customWidth="1"/>
    <col min="10" max="11" width="30.625" style="106" customWidth="1"/>
    <col min="12" max="12" width="6.75" style="110" bestFit="1" customWidth="1"/>
    <col min="13" max="13" width="8.25" style="110" customWidth="1"/>
    <col min="14" max="14" width="10.625" style="110" bestFit="1" customWidth="1"/>
    <col min="15" max="15" width="13" style="110" customWidth="1"/>
    <col min="16" max="16" width="12" style="110" bestFit="1" customWidth="1"/>
    <col min="17" max="17" width="15.5" style="110" customWidth="1"/>
    <col min="18" max="18" width="9" style="110" hidden="1" customWidth="1"/>
    <col min="19" max="19" width="8.75" style="110" hidden="1" customWidth="1"/>
    <col min="20" max="20" width="10.5" style="110" hidden="1" customWidth="1"/>
    <col min="21" max="21" width="8.75" style="110" hidden="1" customWidth="1"/>
    <col min="22" max="22" width="15.625" style="110" bestFit="1" customWidth="1"/>
    <col min="23" max="23" width="10.625" style="66" bestFit="1" customWidth="1"/>
    <col min="24" max="24" width="8.5" style="110" bestFit="1" customWidth="1"/>
    <col min="25" max="25" width="16.375" style="110" customWidth="1"/>
    <col min="26" max="16384" width="9" style="110"/>
  </cols>
  <sheetData>
    <row r="1" spans="1:25" ht="19.899999999999999" customHeight="1">
      <c r="A1" s="173"/>
      <c r="B1" s="173"/>
      <c r="C1" s="173"/>
      <c r="D1" s="173"/>
      <c r="E1" s="173"/>
      <c r="F1" s="173"/>
      <c r="G1" s="173"/>
      <c r="H1" s="173"/>
      <c r="I1" s="173"/>
      <c r="N1" s="66"/>
      <c r="O1" s="108" t="s">
        <v>73</v>
      </c>
      <c r="Q1" s="108" t="s">
        <v>73</v>
      </c>
      <c r="S1" s="108" t="s">
        <v>73</v>
      </c>
      <c r="U1" s="108" t="s">
        <v>73</v>
      </c>
    </row>
    <row r="2" spans="1:25" ht="19.899999999999999" customHeight="1" thickBot="1">
      <c r="A2" s="173"/>
      <c r="B2" s="173"/>
      <c r="C2" s="173"/>
      <c r="D2" s="173"/>
      <c r="E2" s="173"/>
      <c r="F2" s="173"/>
      <c r="G2" s="173"/>
      <c r="H2" s="173"/>
      <c r="I2" s="173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5" ht="19.899999999999999" customHeight="1">
      <c r="A3" s="111"/>
      <c r="B3" s="112"/>
      <c r="C3" s="112"/>
      <c r="D3" s="112"/>
      <c r="E3" s="112"/>
      <c r="F3" s="112" t="s">
        <v>74</v>
      </c>
      <c r="G3" s="112"/>
      <c r="H3" s="112"/>
      <c r="I3" s="112"/>
      <c r="J3" s="184" t="s">
        <v>75</v>
      </c>
      <c r="K3" s="184"/>
      <c r="L3" s="182" t="s">
        <v>47</v>
      </c>
      <c r="M3" s="182" t="s">
        <v>5</v>
      </c>
      <c r="N3" s="178" t="s">
        <v>76</v>
      </c>
      <c r="O3" s="178"/>
      <c r="P3" s="178" t="s">
        <v>77</v>
      </c>
      <c r="Q3" s="178"/>
      <c r="R3" s="179" t="s">
        <v>78</v>
      </c>
      <c r="S3" s="179"/>
      <c r="T3" s="179" t="s">
        <v>79</v>
      </c>
      <c r="U3" s="179"/>
      <c r="V3" s="180" t="s">
        <v>80</v>
      </c>
      <c r="W3" s="176" t="s">
        <v>96</v>
      </c>
      <c r="X3" s="174" t="s">
        <v>45</v>
      </c>
    </row>
    <row r="4" spans="1:25" ht="19.899999999999999" customHeight="1">
      <c r="A4" s="69" t="s">
        <v>81</v>
      </c>
      <c r="B4" s="109"/>
      <c r="C4" s="109"/>
      <c r="D4" s="109"/>
      <c r="E4" s="109"/>
      <c r="F4" s="70" t="s">
        <v>82</v>
      </c>
      <c r="G4" s="70" t="s">
        <v>83</v>
      </c>
      <c r="H4" s="70" t="s">
        <v>84</v>
      </c>
      <c r="I4" s="70" t="s">
        <v>85</v>
      </c>
      <c r="J4" s="107" t="s">
        <v>86</v>
      </c>
      <c r="K4" s="107" t="s">
        <v>87</v>
      </c>
      <c r="L4" s="183"/>
      <c r="M4" s="183"/>
      <c r="N4" s="71" t="s">
        <v>88</v>
      </c>
      <c r="O4" s="72" t="s">
        <v>89</v>
      </c>
      <c r="P4" s="71" t="s">
        <v>90</v>
      </c>
      <c r="Q4" s="72" t="s">
        <v>89</v>
      </c>
      <c r="R4" s="72" t="s">
        <v>91</v>
      </c>
      <c r="S4" s="72" t="s">
        <v>89</v>
      </c>
      <c r="T4" s="72" t="s">
        <v>91</v>
      </c>
      <c r="U4" s="72" t="s">
        <v>89</v>
      </c>
      <c r="V4" s="181"/>
      <c r="W4" s="177"/>
      <c r="X4" s="175"/>
    </row>
    <row r="5" spans="1:25" s="113" customFormat="1" ht="38.1" customHeight="1">
      <c r="A5" s="73" t="str">
        <f t="shared" ref="A5:A14" si="0">F5&amp;G5&amp;H5&amp;I5</f>
        <v>M020853710050101</v>
      </c>
      <c r="B5" s="92"/>
      <c r="C5" s="92"/>
      <c r="D5" s="92"/>
      <c r="E5" s="92"/>
      <c r="F5" s="87"/>
      <c r="G5" s="74"/>
      <c r="H5" s="74" t="s">
        <v>98</v>
      </c>
      <c r="I5" s="87"/>
      <c r="J5" s="105" t="s">
        <v>99</v>
      </c>
      <c r="K5" s="105" t="s">
        <v>173</v>
      </c>
      <c r="L5" s="103" t="s">
        <v>100</v>
      </c>
      <c r="M5" s="104">
        <v>7.2683999999999997</v>
      </c>
      <c r="N5" s="119">
        <v>20900</v>
      </c>
      <c r="O5" s="100">
        <f t="shared" ref="O5:O6" si="1">SUM(N5:N5)*M5*$O$2</f>
        <v>126844.48259999999</v>
      </c>
      <c r="P5" s="99"/>
      <c r="Q5" s="100">
        <f t="shared" ref="Q5:Q6" si="2">(P5*M5)*$Q$2</f>
        <v>0</v>
      </c>
      <c r="R5" s="101"/>
      <c r="S5" s="100">
        <f t="shared" ref="S5:S6" si="3">R5*M5*$S$2</f>
        <v>0</v>
      </c>
      <c r="T5" s="101"/>
      <c r="U5" s="100">
        <f t="shared" ref="U5:U6" si="4">T5*M5*$U$2</f>
        <v>0</v>
      </c>
      <c r="V5" s="76">
        <f t="shared" ref="V5:V6" si="5">SUM(O5+Q5)+S5+U5</f>
        <v>126844.48259999999</v>
      </c>
      <c r="W5" s="95"/>
      <c r="X5" s="77"/>
    </row>
    <row r="6" spans="1:25" s="113" customFormat="1" ht="38.1" customHeight="1">
      <c r="A6" s="73" t="str">
        <f t="shared" si="0"/>
        <v>E00000803071260301</v>
      </c>
      <c r="B6" s="92"/>
      <c r="C6" s="92"/>
      <c r="D6" s="92"/>
      <c r="E6" s="92"/>
      <c r="F6" s="87"/>
      <c r="G6" s="74" t="s">
        <v>92</v>
      </c>
      <c r="H6" s="74"/>
      <c r="I6" s="87"/>
      <c r="J6" s="105" t="s">
        <v>94</v>
      </c>
      <c r="K6" s="105" t="s">
        <v>174</v>
      </c>
      <c r="L6" s="75" t="s">
        <v>93</v>
      </c>
      <c r="M6" s="104">
        <v>2.6086999999999998</v>
      </c>
      <c r="N6" s="102"/>
      <c r="O6" s="100">
        <f t="shared" si="1"/>
        <v>0</v>
      </c>
      <c r="P6" s="99">
        <v>487076</v>
      </c>
      <c r="Q6" s="100">
        <f t="shared" si="2"/>
        <v>1060980.3596019999</v>
      </c>
      <c r="R6" s="101"/>
      <c r="S6" s="100">
        <f t="shared" si="3"/>
        <v>0</v>
      </c>
      <c r="T6" s="101"/>
      <c r="U6" s="100">
        <f t="shared" si="4"/>
        <v>0</v>
      </c>
      <c r="V6" s="76">
        <f t="shared" si="5"/>
        <v>1060980.3596019999</v>
      </c>
      <c r="W6" s="94"/>
      <c r="X6" s="77"/>
      <c r="Y6" s="114"/>
    </row>
    <row r="7" spans="1:25" s="113" customFormat="1" ht="38.1" customHeight="1">
      <c r="A7" s="73" t="str">
        <f t="shared" si="0"/>
        <v>M020852810150101</v>
      </c>
      <c r="B7" s="92"/>
      <c r="C7" s="92"/>
      <c r="D7" s="92"/>
      <c r="E7" s="92"/>
      <c r="F7" s="87"/>
      <c r="G7" s="74"/>
      <c r="H7" s="74" t="s">
        <v>111</v>
      </c>
      <c r="I7" s="87"/>
      <c r="J7" s="105" t="s">
        <v>143</v>
      </c>
      <c r="K7" s="105" t="s">
        <v>112</v>
      </c>
      <c r="L7" s="103" t="s">
        <v>113</v>
      </c>
      <c r="M7" s="104">
        <v>5</v>
      </c>
      <c r="N7" s="130">
        <v>55000</v>
      </c>
      <c r="O7" s="100">
        <f t="shared" ref="O7:O9" si="6">SUM(N7:N7)*M7*$O$2</f>
        <v>229625</v>
      </c>
      <c r="P7" s="99"/>
      <c r="Q7" s="100">
        <f t="shared" ref="Q7" si="7">(P7*M7)*$Q$2</f>
        <v>0</v>
      </c>
      <c r="R7" s="101"/>
      <c r="S7" s="100">
        <f t="shared" ref="S7" si="8">R7*M7*$S$2</f>
        <v>0</v>
      </c>
      <c r="T7" s="101"/>
      <c r="U7" s="100">
        <f t="shared" ref="U7" si="9">T7*M7*$U$2</f>
        <v>0</v>
      </c>
      <c r="V7" s="76">
        <f t="shared" ref="V7:V15" si="10">SUM(O7+Q7)+S7+U7</f>
        <v>229625</v>
      </c>
      <c r="W7" s="94"/>
      <c r="X7" s="77"/>
      <c r="Y7" s="114"/>
    </row>
    <row r="8" spans="1:25" s="113" customFormat="1" ht="38.1" customHeight="1">
      <c r="A8" s="73" t="str">
        <f t="shared" si="0"/>
        <v>M020690710060101</v>
      </c>
      <c r="B8" s="92"/>
      <c r="C8" s="92"/>
      <c r="D8" s="92"/>
      <c r="E8" s="92"/>
      <c r="F8" s="87"/>
      <c r="G8" s="74"/>
      <c r="H8" s="154" t="s">
        <v>138</v>
      </c>
      <c r="I8" s="87"/>
      <c r="J8" s="156" t="s">
        <v>165</v>
      </c>
      <c r="K8" s="156" t="s">
        <v>144</v>
      </c>
      <c r="L8" s="156" t="s">
        <v>139</v>
      </c>
      <c r="M8" s="104">
        <v>3</v>
      </c>
      <c r="N8" s="157">
        <v>9200</v>
      </c>
      <c r="O8" s="100">
        <f t="shared" si="6"/>
        <v>23046</v>
      </c>
      <c r="P8" s="99"/>
      <c r="Q8" s="100"/>
      <c r="R8" s="101"/>
      <c r="S8" s="100"/>
      <c r="T8" s="101"/>
      <c r="U8" s="100"/>
      <c r="V8" s="76">
        <f t="shared" si="10"/>
        <v>23046</v>
      </c>
      <c r="W8" s="94"/>
      <c r="X8" s="77"/>
      <c r="Y8" s="114"/>
    </row>
    <row r="9" spans="1:25" s="113" customFormat="1" ht="38.1" customHeight="1">
      <c r="A9" s="73" t="str">
        <f t="shared" si="0"/>
        <v>M020691410070101</v>
      </c>
      <c r="B9" s="92"/>
      <c r="C9" s="92"/>
      <c r="D9" s="92"/>
      <c r="E9" s="92"/>
      <c r="F9" s="87"/>
      <c r="G9" s="74"/>
      <c r="H9" s="154" t="s">
        <v>140</v>
      </c>
      <c r="I9" s="87"/>
      <c r="J9" s="156" t="s">
        <v>164</v>
      </c>
      <c r="K9" s="156" t="s">
        <v>141</v>
      </c>
      <c r="L9" s="156" t="s">
        <v>139</v>
      </c>
      <c r="M9" s="104">
        <v>1</v>
      </c>
      <c r="N9" s="157">
        <v>11900</v>
      </c>
      <c r="O9" s="100">
        <f t="shared" si="6"/>
        <v>9936.5</v>
      </c>
      <c r="P9" s="99"/>
      <c r="Q9" s="100"/>
      <c r="R9" s="101"/>
      <c r="S9" s="100"/>
      <c r="T9" s="101"/>
      <c r="U9" s="100"/>
      <c r="V9" s="76">
        <f t="shared" si="10"/>
        <v>9936.5</v>
      </c>
      <c r="W9" s="94"/>
      <c r="X9" s="77"/>
      <c r="Y9" s="114"/>
    </row>
    <row r="10" spans="1:25" s="113" customFormat="1" ht="38.1" customHeight="1">
      <c r="A10" s="73" t="str">
        <f t="shared" si="0"/>
        <v>L003</v>
      </c>
      <c r="B10" s="92"/>
      <c r="C10" s="92"/>
      <c r="D10" s="92"/>
      <c r="E10" s="92"/>
      <c r="F10" s="87"/>
      <c r="G10" s="74"/>
      <c r="H10" s="154"/>
      <c r="I10" s="155" t="s">
        <v>154</v>
      </c>
      <c r="J10" s="158" t="s">
        <v>175</v>
      </c>
      <c r="K10" s="156" t="s">
        <v>159</v>
      </c>
      <c r="L10" s="156" t="s">
        <v>151</v>
      </c>
      <c r="M10" s="104">
        <v>2.5</v>
      </c>
      <c r="N10" s="157"/>
      <c r="O10" s="100">
        <f t="shared" ref="O10" si="11">SUM(N10:N10)*M10*$O$2</f>
        <v>0</v>
      </c>
      <c r="P10" s="99">
        <v>219321</v>
      </c>
      <c r="Q10" s="100">
        <f>M10*P10</f>
        <v>548302.5</v>
      </c>
      <c r="R10" s="101"/>
      <c r="S10" s="100"/>
      <c r="T10" s="101"/>
      <c r="U10" s="100"/>
      <c r="V10" s="76">
        <f t="shared" ref="V10" si="12">SUM(O10+Q10)+S10+U10</f>
        <v>548302.5</v>
      </c>
      <c r="W10" s="94"/>
      <c r="X10" s="77"/>
      <c r="Y10" s="114"/>
    </row>
    <row r="11" spans="1:25" s="113" customFormat="1" ht="38.1" customHeight="1">
      <c r="A11" s="73" t="str">
        <f t="shared" si="0"/>
        <v>L003</v>
      </c>
      <c r="B11" s="92"/>
      <c r="C11" s="92"/>
      <c r="D11" s="92"/>
      <c r="E11" s="92"/>
      <c r="F11" s="87"/>
      <c r="G11" s="74"/>
      <c r="H11" s="154"/>
      <c r="I11" s="155" t="s">
        <v>154</v>
      </c>
      <c r="J11" s="160" t="s">
        <v>166</v>
      </c>
      <c r="K11" s="156" t="s">
        <v>159</v>
      </c>
      <c r="L11" s="156" t="s">
        <v>151</v>
      </c>
      <c r="M11" s="104">
        <v>1.5</v>
      </c>
      <c r="N11" s="157"/>
      <c r="O11" s="100">
        <f t="shared" ref="O11:O13" si="13">SUM(N11:N11)*M11*$O$2</f>
        <v>0</v>
      </c>
      <c r="P11" s="99">
        <v>219321</v>
      </c>
      <c r="Q11" s="100">
        <f>M11*P11</f>
        <v>328981.5</v>
      </c>
      <c r="R11" s="101"/>
      <c r="S11" s="100"/>
      <c r="T11" s="101"/>
      <c r="U11" s="100"/>
      <c r="V11" s="76">
        <f t="shared" ref="V11" si="14">SUM(O11+Q11)+S11+U11</f>
        <v>328981.5</v>
      </c>
      <c r="W11" s="94"/>
      <c r="X11" s="77"/>
      <c r="Y11" s="114"/>
    </row>
    <row r="12" spans="1:25" s="113" customFormat="1" ht="38.1" customHeight="1">
      <c r="A12" s="73" t="str">
        <f t="shared" si="0"/>
        <v>L003</v>
      </c>
      <c r="B12" s="92"/>
      <c r="C12" s="92"/>
      <c r="D12" s="92"/>
      <c r="E12" s="92"/>
      <c r="F12" s="87"/>
      <c r="G12" s="74"/>
      <c r="H12" s="154"/>
      <c r="I12" s="155" t="s">
        <v>154</v>
      </c>
      <c r="J12" s="160" t="s">
        <v>161</v>
      </c>
      <c r="K12" s="156" t="s">
        <v>159</v>
      </c>
      <c r="L12" s="156" t="s">
        <v>151</v>
      </c>
      <c r="M12" s="104">
        <v>1</v>
      </c>
      <c r="N12" s="157"/>
      <c r="O12" s="100">
        <f t="shared" si="13"/>
        <v>0</v>
      </c>
      <c r="P12" s="99">
        <v>219321</v>
      </c>
      <c r="Q12" s="100">
        <f>M12*P12</f>
        <v>219321</v>
      </c>
      <c r="R12" s="101"/>
      <c r="S12" s="100"/>
      <c r="T12" s="101"/>
      <c r="U12" s="100"/>
      <c r="V12" s="76">
        <f t="shared" ref="V12:V13" si="15">SUM(O12+Q12)+S12+U12</f>
        <v>219321</v>
      </c>
      <c r="W12" s="94"/>
      <c r="X12" s="77"/>
      <c r="Y12" s="114"/>
    </row>
    <row r="13" spans="1:25" s="113" customFormat="1" ht="38.1" customHeight="1">
      <c r="A13" s="73" t="str">
        <f t="shared" si="0"/>
        <v>M020252912050101</v>
      </c>
      <c r="B13" s="92"/>
      <c r="C13" s="92"/>
      <c r="D13" s="92"/>
      <c r="E13" s="92"/>
      <c r="F13" s="87"/>
      <c r="G13" s="74"/>
      <c r="H13" s="154" t="s">
        <v>142</v>
      </c>
      <c r="I13" s="87"/>
      <c r="J13" s="158" t="s">
        <v>167</v>
      </c>
      <c r="K13" s="161" t="s">
        <v>147</v>
      </c>
      <c r="L13" s="158" t="s">
        <v>149</v>
      </c>
      <c r="M13" s="104">
        <v>1</v>
      </c>
      <c r="N13" s="159">
        <v>5000</v>
      </c>
      <c r="O13" s="100">
        <f t="shared" si="13"/>
        <v>4175</v>
      </c>
      <c r="P13" s="99"/>
      <c r="Q13" s="100"/>
      <c r="R13" s="101"/>
      <c r="S13" s="100"/>
      <c r="T13" s="101"/>
      <c r="U13" s="100"/>
      <c r="V13" s="76">
        <f t="shared" si="15"/>
        <v>4175</v>
      </c>
      <c r="W13" s="94"/>
      <c r="X13" s="77"/>
      <c r="Y13" s="114"/>
    </row>
    <row r="14" spans="1:25" s="113" customFormat="1" ht="38.1" customHeight="1">
      <c r="A14" s="73" t="str">
        <f t="shared" si="0"/>
        <v>L002</v>
      </c>
      <c r="B14" s="92"/>
      <c r="C14" s="92"/>
      <c r="D14" s="92"/>
      <c r="E14" s="92"/>
      <c r="F14" s="87"/>
      <c r="G14" s="74"/>
      <c r="H14" s="154"/>
      <c r="I14" s="155" t="s">
        <v>155</v>
      </c>
      <c r="J14" s="156" t="s">
        <v>162</v>
      </c>
      <c r="K14" s="156" t="s">
        <v>160</v>
      </c>
      <c r="L14" s="156" t="s">
        <v>151</v>
      </c>
      <c r="M14" s="104">
        <v>0.5</v>
      </c>
      <c r="N14" s="157"/>
      <c r="O14" s="100"/>
      <c r="P14" s="99">
        <v>167081</v>
      </c>
      <c r="Q14" s="100">
        <f>M14*P14</f>
        <v>83540.5</v>
      </c>
      <c r="R14" s="101"/>
      <c r="S14" s="100"/>
      <c r="T14" s="101"/>
      <c r="U14" s="100"/>
      <c r="V14" s="76">
        <f t="shared" ref="V14" si="16">SUM(O14+Q14)+S14+U14</f>
        <v>83540.5</v>
      </c>
      <c r="W14" s="94"/>
      <c r="X14" s="77"/>
      <c r="Y14" s="114"/>
    </row>
    <row r="15" spans="1:25" s="113" customFormat="1" ht="38.1" customHeight="1">
      <c r="A15" s="73">
        <v>9999999</v>
      </c>
      <c r="B15" s="92"/>
      <c r="C15" s="92"/>
      <c r="D15" s="92"/>
      <c r="E15" s="92"/>
      <c r="F15" s="87"/>
      <c r="G15" s="74"/>
      <c r="H15" s="154"/>
      <c r="I15" s="87"/>
      <c r="J15" s="156" t="s">
        <v>168</v>
      </c>
      <c r="K15" s="164" t="s">
        <v>169</v>
      </c>
      <c r="L15" s="158" t="s">
        <v>163</v>
      </c>
      <c r="M15" s="104">
        <v>1</v>
      </c>
      <c r="N15" s="159">
        <v>68000</v>
      </c>
      <c r="O15" s="100">
        <f>M15*N15</f>
        <v>68000</v>
      </c>
      <c r="P15" s="99"/>
      <c r="Q15" s="100"/>
      <c r="R15" s="101"/>
      <c r="S15" s="100"/>
      <c r="T15" s="101"/>
      <c r="U15" s="100"/>
      <c r="V15" s="76">
        <f t="shared" si="10"/>
        <v>68000</v>
      </c>
      <c r="W15" s="94"/>
      <c r="X15" s="77"/>
      <c r="Y15" s="114"/>
    </row>
    <row r="16" spans="1:25" ht="38.1" customHeight="1">
      <c r="A16" s="115"/>
      <c r="B16" s="110"/>
      <c r="C16" s="110"/>
      <c r="D16" s="110"/>
      <c r="E16" s="110"/>
      <c r="O16" s="116">
        <f>SUM(O5:O15)</f>
        <v>461626.98259999999</v>
      </c>
      <c r="P16" s="117"/>
      <c r="Q16" s="116">
        <f>SUM(Q5:Q15)</f>
        <v>2241125.8596019996</v>
      </c>
      <c r="R16" s="117"/>
      <c r="S16" s="116">
        <f>SUM(S5:S15)</f>
        <v>0</v>
      </c>
      <c r="T16" s="117"/>
      <c r="U16" s="116">
        <f>SUM(U5:U15)</f>
        <v>0</v>
      </c>
      <c r="V16" s="166">
        <f>SUM(V5:V15)</f>
        <v>2702752.8422019999</v>
      </c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32"/>
  <sheetViews>
    <sheetView zoomScale="90" zoomScaleNormal="90" workbookViewId="0">
      <selection activeCell="B19" sqref="B19"/>
    </sheetView>
  </sheetViews>
  <sheetFormatPr defaultColWidth="9" defaultRowHeight="14.25"/>
  <cols>
    <col min="1" max="1" width="30.125" style="86" customWidth="1"/>
    <col min="2" max="2" width="32.75" style="86" customWidth="1"/>
    <col min="3" max="3" width="5.75" style="86" customWidth="1"/>
    <col min="4" max="4" width="5.25" style="86" customWidth="1"/>
    <col min="5" max="8" width="20.625" style="86" customWidth="1"/>
    <col min="9" max="12" width="20.625" style="86" hidden="1" customWidth="1"/>
    <col min="13" max="14" width="20.625" style="86" customWidth="1"/>
    <col min="15" max="15" width="32.75" style="86" customWidth="1"/>
    <col min="16" max="16" width="9" style="78"/>
    <col min="17" max="17" width="9.5" style="78" bestFit="1" customWidth="1"/>
    <col min="18" max="16384" width="9" style="78"/>
  </cols>
  <sheetData>
    <row r="1" spans="1:17" ht="27" customHeight="1">
      <c r="A1" s="187" t="s">
        <v>59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</row>
    <row r="2" spans="1:17" ht="15" customHeight="1">
      <c r="A2" s="188" t="s">
        <v>60</v>
      </c>
      <c r="B2" s="189" t="s">
        <v>61</v>
      </c>
      <c r="C2" s="190" t="s">
        <v>47</v>
      </c>
      <c r="D2" s="190" t="s">
        <v>62</v>
      </c>
      <c r="E2" s="192" t="s">
        <v>63</v>
      </c>
      <c r="F2" s="189"/>
      <c r="G2" s="189" t="s">
        <v>64</v>
      </c>
      <c r="H2" s="189"/>
      <c r="I2" s="193" t="s">
        <v>65</v>
      </c>
      <c r="J2" s="194"/>
      <c r="K2" s="193" t="s">
        <v>66</v>
      </c>
      <c r="L2" s="194"/>
      <c r="M2" s="192" t="s">
        <v>67</v>
      </c>
      <c r="N2" s="189"/>
      <c r="O2" s="195" t="s">
        <v>68</v>
      </c>
    </row>
    <row r="3" spans="1:17" ht="15" customHeight="1">
      <c r="A3" s="188"/>
      <c r="B3" s="189"/>
      <c r="C3" s="191"/>
      <c r="D3" s="191"/>
      <c r="E3" s="98" t="s">
        <v>69</v>
      </c>
      <c r="F3" s="98" t="s">
        <v>70</v>
      </c>
      <c r="G3" s="79" t="s">
        <v>69</v>
      </c>
      <c r="H3" s="98" t="s">
        <v>71</v>
      </c>
      <c r="I3" s="98"/>
      <c r="J3" s="98"/>
      <c r="K3" s="79" t="s">
        <v>69</v>
      </c>
      <c r="L3" s="98" t="s">
        <v>71</v>
      </c>
      <c r="M3" s="79" t="s">
        <v>69</v>
      </c>
      <c r="N3" s="98" t="s">
        <v>71</v>
      </c>
      <c r="O3" s="196"/>
    </row>
    <row r="4" spans="1:17" ht="15" customHeight="1">
      <c r="A4" s="185" t="s">
        <v>178</v>
      </c>
      <c r="B4" s="186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7" ht="15" customHeight="1">
      <c r="A5" s="120" t="s">
        <v>101</v>
      </c>
      <c r="B5" s="150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51"/>
    </row>
    <row r="6" spans="1:17" ht="15" customHeight="1">
      <c r="A6" s="122" t="s">
        <v>104</v>
      </c>
      <c r="B6" s="123" t="s">
        <v>105</v>
      </c>
      <c r="C6" s="124" t="s">
        <v>72</v>
      </c>
      <c r="D6" s="125">
        <v>20</v>
      </c>
      <c r="E6" s="126">
        <v>1057</v>
      </c>
      <c r="F6" s="126">
        <f t="shared" ref="F6:F7" si="0">D6*E6</f>
        <v>21140</v>
      </c>
      <c r="G6" s="126">
        <v>8839.9</v>
      </c>
      <c r="H6" s="126">
        <f t="shared" ref="H6" si="1">D6*G6</f>
        <v>176798</v>
      </c>
      <c r="I6" s="126"/>
      <c r="J6" s="126"/>
      <c r="K6" s="126"/>
      <c r="L6" s="126"/>
      <c r="M6" s="126"/>
      <c r="N6" s="126">
        <f>F6+H6+J6+L6</f>
        <v>197938</v>
      </c>
      <c r="O6" s="129"/>
      <c r="P6" s="152"/>
      <c r="Q6" s="162"/>
    </row>
    <row r="7" spans="1:17" ht="15" customHeight="1">
      <c r="A7" s="122" t="s">
        <v>103</v>
      </c>
      <c r="B7" s="123" t="s">
        <v>145</v>
      </c>
      <c r="C7" s="124" t="s">
        <v>146</v>
      </c>
      <c r="D7" s="125">
        <v>1</v>
      </c>
      <c r="E7" s="126">
        <v>7682</v>
      </c>
      <c r="F7" s="126">
        <f t="shared" si="0"/>
        <v>7682</v>
      </c>
      <c r="G7" s="126"/>
      <c r="H7" s="126"/>
      <c r="I7" s="126"/>
      <c r="J7" s="126"/>
      <c r="K7" s="126"/>
      <c r="L7" s="126"/>
      <c r="M7" s="126"/>
      <c r="N7" s="126">
        <f t="shared" ref="N7:N8" si="2">F7+H7+J7+L7</f>
        <v>7682</v>
      </c>
      <c r="O7" s="129"/>
      <c r="P7" s="152"/>
    </row>
    <row r="8" spans="1:17" ht="15" customHeight="1">
      <c r="A8" s="122"/>
      <c r="B8" s="123" t="s">
        <v>150</v>
      </c>
      <c r="C8" s="124" t="s">
        <v>151</v>
      </c>
      <c r="D8" s="149">
        <v>0.5</v>
      </c>
      <c r="E8" s="126"/>
      <c r="F8" s="126"/>
      <c r="G8" s="126">
        <v>219321</v>
      </c>
      <c r="H8" s="126">
        <f t="shared" ref="H8" si="3">D8*G8</f>
        <v>109660.5</v>
      </c>
      <c r="I8" s="126"/>
      <c r="J8" s="126"/>
      <c r="K8" s="126"/>
      <c r="L8" s="126"/>
      <c r="M8" s="126"/>
      <c r="N8" s="126">
        <f t="shared" si="2"/>
        <v>109660.5</v>
      </c>
      <c r="O8" s="129"/>
      <c r="P8" s="153"/>
    </row>
    <row r="9" spans="1:17" ht="15" customHeight="1">
      <c r="A9" s="127" t="s">
        <v>102</v>
      </c>
      <c r="B9" s="123"/>
      <c r="C9" s="124"/>
      <c r="D9" s="125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9"/>
    </row>
    <row r="10" spans="1:17" ht="15" customHeight="1">
      <c r="A10" s="122" t="s">
        <v>104</v>
      </c>
      <c r="B10" s="123" t="s">
        <v>107</v>
      </c>
      <c r="C10" s="124" t="s">
        <v>72</v>
      </c>
      <c r="D10" s="125">
        <v>20</v>
      </c>
      <c r="E10" s="126">
        <v>1057</v>
      </c>
      <c r="F10" s="126">
        <f t="shared" ref="F10:F11" si="4">D10*E10</f>
        <v>21140</v>
      </c>
      <c r="G10" s="126">
        <v>8839.9</v>
      </c>
      <c r="H10" s="126">
        <f t="shared" ref="H10" si="5">D10*G10</f>
        <v>176798</v>
      </c>
      <c r="I10" s="126"/>
      <c r="J10" s="126"/>
      <c r="K10" s="126"/>
      <c r="L10" s="126"/>
      <c r="M10" s="126"/>
      <c r="N10" s="126">
        <f>F10+H10+J10+L10</f>
        <v>197938</v>
      </c>
      <c r="O10" s="129"/>
    </row>
    <row r="11" spans="1:17" ht="15" customHeight="1">
      <c r="A11" s="122" t="s">
        <v>103</v>
      </c>
      <c r="B11" s="123" t="s">
        <v>145</v>
      </c>
      <c r="C11" s="124" t="s">
        <v>146</v>
      </c>
      <c r="D11" s="125">
        <v>1</v>
      </c>
      <c r="E11" s="126">
        <v>7682</v>
      </c>
      <c r="F11" s="126">
        <f t="shared" si="4"/>
        <v>7682</v>
      </c>
      <c r="G11" s="126"/>
      <c r="H11" s="126"/>
      <c r="I11" s="126"/>
      <c r="J11" s="126"/>
      <c r="K11" s="126"/>
      <c r="L11" s="126"/>
      <c r="M11" s="126"/>
      <c r="N11" s="126">
        <f t="shared" ref="N11:N12" si="6">F11+H11+J11+L11</f>
        <v>7682</v>
      </c>
      <c r="O11" s="129"/>
    </row>
    <row r="12" spans="1:17" ht="15" customHeight="1">
      <c r="A12" s="122"/>
      <c r="B12" s="123" t="s">
        <v>150</v>
      </c>
      <c r="C12" s="124" t="s">
        <v>151</v>
      </c>
      <c r="D12" s="149">
        <v>0.5</v>
      </c>
      <c r="E12" s="126"/>
      <c r="F12" s="126"/>
      <c r="G12" s="126">
        <v>219321</v>
      </c>
      <c r="H12" s="126">
        <f t="shared" ref="H12" si="7">D12*G12</f>
        <v>109660.5</v>
      </c>
      <c r="I12" s="126"/>
      <c r="J12" s="126"/>
      <c r="K12" s="126"/>
      <c r="L12" s="126"/>
      <c r="M12" s="126"/>
      <c r="N12" s="126">
        <f t="shared" si="6"/>
        <v>109660.5</v>
      </c>
      <c r="O12" s="129"/>
    </row>
    <row r="13" spans="1:17" ht="15" customHeight="1">
      <c r="A13" s="122" t="s">
        <v>106</v>
      </c>
      <c r="B13" s="146" t="s">
        <v>109</v>
      </c>
      <c r="C13" s="146" t="s">
        <v>110</v>
      </c>
      <c r="D13" s="146">
        <v>5</v>
      </c>
      <c r="E13" s="126">
        <v>45925</v>
      </c>
      <c r="F13" s="128">
        <f>D13*E13</f>
        <v>229625</v>
      </c>
      <c r="G13" s="147"/>
      <c r="H13" s="147"/>
      <c r="I13" s="147"/>
      <c r="J13" s="147"/>
      <c r="K13" s="147"/>
      <c r="L13" s="147"/>
      <c r="M13" s="147"/>
      <c r="N13" s="128">
        <f t="shared" ref="N13" si="8">F13+H13+J13+L13</f>
        <v>229625</v>
      </c>
      <c r="O13" s="129"/>
    </row>
    <row r="14" spans="1:17" ht="15" customHeight="1">
      <c r="A14" s="127" t="s">
        <v>157</v>
      </c>
      <c r="B14" s="142"/>
      <c r="C14" s="143"/>
      <c r="D14" s="144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29"/>
    </row>
    <row r="15" spans="1:17" ht="15" customHeight="1">
      <c r="A15" s="122" t="s">
        <v>104</v>
      </c>
      <c r="B15" s="123"/>
      <c r="C15" s="124" t="s">
        <v>72</v>
      </c>
      <c r="D15" s="125">
        <v>20</v>
      </c>
      <c r="E15" s="126">
        <v>1057</v>
      </c>
      <c r="F15" s="126">
        <f t="shared" ref="F15:F16" si="9">D15*E15</f>
        <v>21140</v>
      </c>
      <c r="G15" s="126">
        <v>8839.9</v>
      </c>
      <c r="H15" s="126">
        <f t="shared" ref="H15" si="10">D15*G15</f>
        <v>176798</v>
      </c>
      <c r="I15" s="126"/>
      <c r="J15" s="126"/>
      <c r="K15" s="126"/>
      <c r="L15" s="126"/>
      <c r="M15" s="126"/>
      <c r="N15" s="126">
        <f>F15+H15+J15+L15</f>
        <v>197938</v>
      </c>
      <c r="O15" s="129"/>
    </row>
    <row r="16" spans="1:17" ht="15" customHeight="1">
      <c r="A16" s="122" t="s">
        <v>103</v>
      </c>
      <c r="B16" s="123" t="s">
        <v>145</v>
      </c>
      <c r="C16" s="124" t="s">
        <v>146</v>
      </c>
      <c r="D16" s="125">
        <v>1</v>
      </c>
      <c r="E16" s="126">
        <v>7682</v>
      </c>
      <c r="F16" s="126">
        <f t="shared" si="9"/>
        <v>7682</v>
      </c>
      <c r="G16" s="126"/>
      <c r="H16" s="126"/>
      <c r="I16" s="126"/>
      <c r="J16" s="126"/>
      <c r="K16" s="126"/>
      <c r="L16" s="126"/>
      <c r="M16" s="126"/>
      <c r="N16" s="126">
        <f t="shared" ref="N16:N18" si="11">F16+H16+J16+L16</f>
        <v>7682</v>
      </c>
      <c r="O16" s="129"/>
    </row>
    <row r="17" spans="1:15" ht="15" customHeight="1">
      <c r="A17" s="122"/>
      <c r="B17" s="123" t="s">
        <v>150</v>
      </c>
      <c r="C17" s="124" t="s">
        <v>151</v>
      </c>
      <c r="D17" s="149">
        <v>0.5</v>
      </c>
      <c r="E17" s="126"/>
      <c r="F17" s="126"/>
      <c r="G17" s="126">
        <v>219321</v>
      </c>
      <c r="H17" s="126">
        <f t="shared" ref="H17:H18" si="12">D17*G17</f>
        <v>109660.5</v>
      </c>
      <c r="I17" s="126"/>
      <c r="J17" s="126"/>
      <c r="K17" s="126"/>
      <c r="L17" s="126"/>
      <c r="M17" s="126"/>
      <c r="N17" s="126">
        <f t="shared" si="11"/>
        <v>109660.5</v>
      </c>
      <c r="O17" s="129"/>
    </row>
    <row r="18" spans="1:15" ht="15" customHeight="1">
      <c r="A18" s="122" t="s">
        <v>156</v>
      </c>
      <c r="B18" s="123" t="s">
        <v>150</v>
      </c>
      <c r="C18" s="124" t="s">
        <v>151</v>
      </c>
      <c r="D18" s="149">
        <v>1</v>
      </c>
      <c r="E18" s="126"/>
      <c r="F18" s="126"/>
      <c r="G18" s="126">
        <v>219321</v>
      </c>
      <c r="H18" s="126">
        <f t="shared" si="12"/>
        <v>219321</v>
      </c>
      <c r="I18" s="126"/>
      <c r="J18" s="126"/>
      <c r="K18" s="126"/>
      <c r="L18" s="126"/>
      <c r="M18" s="126"/>
      <c r="N18" s="126">
        <f t="shared" si="11"/>
        <v>219321</v>
      </c>
      <c r="O18" s="129"/>
    </row>
    <row r="19" spans="1:15" ht="15" customHeight="1">
      <c r="A19" s="127" t="s">
        <v>158</v>
      </c>
      <c r="B19" s="123"/>
      <c r="C19" s="124"/>
      <c r="D19" s="125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9"/>
    </row>
    <row r="20" spans="1:15" ht="15" customHeight="1">
      <c r="A20" s="122" t="s">
        <v>104</v>
      </c>
      <c r="B20" s="123" t="s">
        <v>152</v>
      </c>
      <c r="C20" s="124" t="s">
        <v>72</v>
      </c>
      <c r="D20" s="125">
        <v>20</v>
      </c>
      <c r="E20" s="126">
        <v>1057</v>
      </c>
      <c r="F20" s="126">
        <f t="shared" ref="F20:F22" si="13">D20*E20</f>
        <v>21140</v>
      </c>
      <c r="G20" s="126">
        <v>8839.9</v>
      </c>
      <c r="H20" s="126">
        <f t="shared" ref="H20" si="14">D20*G20</f>
        <v>176798</v>
      </c>
      <c r="I20" s="126"/>
      <c r="J20" s="126"/>
      <c r="K20" s="126"/>
      <c r="L20" s="126"/>
      <c r="M20" s="126"/>
      <c r="N20" s="126">
        <f>F20+H20+J20+L20</f>
        <v>197938</v>
      </c>
      <c r="O20" s="129"/>
    </row>
    <row r="21" spans="1:15" ht="15" customHeight="1">
      <c r="A21" s="122" t="s">
        <v>108</v>
      </c>
      <c r="B21" s="123" t="s">
        <v>153</v>
      </c>
      <c r="C21" s="124" t="s">
        <v>146</v>
      </c>
      <c r="D21" s="125">
        <v>1</v>
      </c>
      <c r="E21" s="126">
        <v>9937</v>
      </c>
      <c r="F21" s="126">
        <f t="shared" si="13"/>
        <v>9937</v>
      </c>
      <c r="G21" s="126"/>
      <c r="H21" s="126"/>
      <c r="I21" s="126"/>
      <c r="J21" s="126"/>
      <c r="K21" s="126"/>
      <c r="L21" s="126"/>
      <c r="M21" s="126"/>
      <c r="N21" s="126">
        <f t="shared" ref="N21:N24" si="15">F21+H21+J21+L21</f>
        <v>9937</v>
      </c>
      <c r="O21" s="129"/>
    </row>
    <row r="22" spans="1:15" ht="15" customHeight="1">
      <c r="A22" s="122"/>
      <c r="B22" s="148" t="s">
        <v>148</v>
      </c>
      <c r="C22" s="124" t="s">
        <v>149</v>
      </c>
      <c r="D22" s="125">
        <v>1</v>
      </c>
      <c r="E22" s="126">
        <v>4175</v>
      </c>
      <c r="F22" s="126">
        <f t="shared" si="13"/>
        <v>4175</v>
      </c>
      <c r="G22" s="126"/>
      <c r="H22" s="126"/>
      <c r="I22" s="126"/>
      <c r="J22" s="126"/>
      <c r="K22" s="126"/>
      <c r="L22" s="126"/>
      <c r="M22" s="126"/>
      <c r="N22" s="126">
        <f t="shared" si="15"/>
        <v>4175</v>
      </c>
      <c r="O22" s="129"/>
    </row>
    <row r="23" spans="1:15" ht="15" customHeight="1">
      <c r="A23" s="122"/>
      <c r="B23" s="123" t="s">
        <v>150</v>
      </c>
      <c r="C23" s="124" t="s">
        <v>151</v>
      </c>
      <c r="D23" s="149">
        <v>1</v>
      </c>
      <c r="E23" s="126"/>
      <c r="F23" s="126"/>
      <c r="G23" s="126">
        <v>219321</v>
      </c>
      <c r="H23" s="126">
        <f t="shared" ref="H23:H24" si="16">D23*G23</f>
        <v>219321</v>
      </c>
      <c r="I23" s="126"/>
      <c r="J23" s="126"/>
      <c r="K23" s="126"/>
      <c r="L23" s="126"/>
      <c r="M23" s="126"/>
      <c r="N23" s="126">
        <f t="shared" si="15"/>
        <v>219321</v>
      </c>
      <c r="O23" s="129"/>
    </row>
    <row r="24" spans="1:15" ht="15" customHeight="1">
      <c r="A24" s="122" t="s">
        <v>156</v>
      </c>
      <c r="B24" s="123" t="s">
        <v>150</v>
      </c>
      <c r="C24" s="124" t="s">
        <v>151</v>
      </c>
      <c r="D24" s="149">
        <v>1</v>
      </c>
      <c r="E24" s="126"/>
      <c r="F24" s="126"/>
      <c r="G24" s="126">
        <v>219321</v>
      </c>
      <c r="H24" s="126">
        <f t="shared" si="16"/>
        <v>219321</v>
      </c>
      <c r="I24" s="126"/>
      <c r="J24" s="126"/>
      <c r="K24" s="126"/>
      <c r="L24" s="126"/>
      <c r="M24" s="126"/>
      <c r="N24" s="126">
        <f t="shared" si="15"/>
        <v>219321</v>
      </c>
      <c r="O24" s="129"/>
    </row>
    <row r="25" spans="1:15" ht="15" customHeight="1">
      <c r="A25" s="122" t="s">
        <v>118</v>
      </c>
      <c r="B25" s="131" t="s">
        <v>114</v>
      </c>
      <c r="C25" s="132" t="s">
        <v>115</v>
      </c>
      <c r="D25" s="132">
        <v>1</v>
      </c>
      <c r="E25" s="163">
        <v>68000</v>
      </c>
      <c r="F25" s="128">
        <f t="shared" ref="F25" si="17">D25*E25</f>
        <v>68000</v>
      </c>
      <c r="G25" s="133"/>
      <c r="H25" s="133"/>
      <c r="I25" s="133"/>
      <c r="J25" s="133"/>
      <c r="K25" s="133"/>
      <c r="L25" s="133"/>
      <c r="M25" s="133"/>
      <c r="N25" s="128">
        <f t="shared" ref="N25:N26" si="18">F25+H25+J25+L25</f>
        <v>68000</v>
      </c>
      <c r="O25" s="129"/>
    </row>
    <row r="26" spans="1:15" ht="15" customHeight="1">
      <c r="A26" s="122"/>
      <c r="B26" s="132" t="s">
        <v>116</v>
      </c>
      <c r="C26" s="132" t="s">
        <v>117</v>
      </c>
      <c r="D26" s="132">
        <v>0.5</v>
      </c>
      <c r="E26" s="134"/>
      <c r="F26" s="134"/>
      <c r="G26" s="134">
        <v>167081</v>
      </c>
      <c r="H26" s="134">
        <f t="shared" ref="H26" si="19">D26*G26</f>
        <v>83540.5</v>
      </c>
      <c r="I26" s="135"/>
      <c r="J26" s="135"/>
      <c r="K26" s="135"/>
      <c r="L26" s="135"/>
      <c r="M26" s="133"/>
      <c r="N26" s="128">
        <f t="shared" si="18"/>
        <v>83540.5</v>
      </c>
      <c r="O26" s="129"/>
    </row>
    <row r="27" spans="1:15" ht="15" customHeight="1">
      <c r="A27" s="165" t="s">
        <v>170</v>
      </c>
      <c r="B27" s="142"/>
      <c r="C27" s="143"/>
      <c r="D27" s="144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29"/>
    </row>
    <row r="28" spans="1:15" ht="15" customHeight="1">
      <c r="A28" s="122" t="s">
        <v>104</v>
      </c>
      <c r="B28" s="123"/>
      <c r="C28" s="124" t="s">
        <v>72</v>
      </c>
      <c r="D28" s="125">
        <v>20</v>
      </c>
      <c r="E28" s="126">
        <v>1057</v>
      </c>
      <c r="F28" s="126">
        <f t="shared" ref="F28" si="20">D28*E28</f>
        <v>21140</v>
      </c>
      <c r="G28" s="126">
        <v>8839.9</v>
      </c>
      <c r="H28" s="126">
        <f t="shared" ref="H28" si="21">D28*G28</f>
        <v>176798</v>
      </c>
      <c r="I28" s="126"/>
      <c r="J28" s="126"/>
      <c r="K28" s="126"/>
      <c r="L28" s="126"/>
      <c r="M28" s="126"/>
      <c r="N28" s="126">
        <f>F28+H28+J28+L28</f>
        <v>197938</v>
      </c>
      <c r="O28" s="129"/>
    </row>
    <row r="29" spans="1:15" ht="15" customHeight="1">
      <c r="A29" s="122" t="s">
        <v>171</v>
      </c>
      <c r="B29" s="123" t="s">
        <v>150</v>
      </c>
      <c r="C29" s="124" t="s">
        <v>151</v>
      </c>
      <c r="D29" s="149">
        <v>0.5</v>
      </c>
      <c r="E29" s="126"/>
      <c r="F29" s="126"/>
      <c r="G29" s="126">
        <v>219321</v>
      </c>
      <c r="H29" s="126">
        <f t="shared" ref="H29" si="22">D29*G29</f>
        <v>109660.5</v>
      </c>
      <c r="I29" s="126"/>
      <c r="J29" s="126"/>
      <c r="K29" s="126"/>
      <c r="L29" s="126"/>
      <c r="M29" s="126"/>
      <c r="N29" s="126">
        <f t="shared" ref="N29" si="23">F29+H29+J29+L29</f>
        <v>109660.5</v>
      </c>
      <c r="O29" s="129"/>
    </row>
    <row r="30" spans="1:15" ht="15" customHeight="1">
      <c r="A30" s="127" t="s">
        <v>172</v>
      </c>
      <c r="B30" s="123"/>
      <c r="C30" s="124"/>
      <c r="D30" s="125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9"/>
    </row>
    <row r="31" spans="1:15" ht="15" customHeight="1">
      <c r="A31" s="122" t="s">
        <v>104</v>
      </c>
      <c r="B31" s="123" t="s">
        <v>152</v>
      </c>
      <c r="C31" s="124" t="s">
        <v>72</v>
      </c>
      <c r="D31" s="125">
        <v>20</v>
      </c>
      <c r="E31" s="126">
        <v>1057</v>
      </c>
      <c r="F31" s="126">
        <f t="shared" ref="F31" si="24">D31*E31</f>
        <v>21140</v>
      </c>
      <c r="G31" s="126">
        <v>8839.9</v>
      </c>
      <c r="H31" s="126">
        <f t="shared" ref="H31" si="25">D31*G31</f>
        <v>176798</v>
      </c>
      <c r="I31" s="126"/>
      <c r="J31" s="126"/>
      <c r="K31" s="126"/>
      <c r="L31" s="126"/>
      <c r="M31" s="126"/>
      <c r="N31" s="126">
        <f>F31+H31+J31+L31</f>
        <v>197938</v>
      </c>
      <c r="O31" s="129"/>
    </row>
    <row r="32" spans="1:15" ht="15" customHeight="1">
      <c r="A32" s="88" t="s">
        <v>95</v>
      </c>
      <c r="B32" s="81"/>
      <c r="C32" s="82"/>
      <c r="D32" s="83"/>
      <c r="E32" s="84"/>
      <c r="F32" s="85">
        <f>SUM(F6:F31)</f>
        <v>461623</v>
      </c>
      <c r="G32" s="85"/>
      <c r="H32" s="85">
        <f>SUM(H6:H31)</f>
        <v>2240933.5</v>
      </c>
      <c r="I32" s="84"/>
      <c r="J32" s="85" t="e">
        <f>#REF!+#REF!</f>
        <v>#REF!</v>
      </c>
      <c r="K32" s="84"/>
      <c r="L32" s="85" t="e">
        <f>#REF!+#REF!</f>
        <v>#REF!</v>
      </c>
      <c r="M32" s="84"/>
      <c r="N32" s="85">
        <f>SUM(N6:N31)</f>
        <v>2702556.5</v>
      </c>
      <c r="O32" s="84"/>
    </row>
  </sheetData>
  <mergeCells count="12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84BE-7A57-4201-95D3-A7C93F5FC309}">
  <dimension ref="A1"/>
  <sheetViews>
    <sheetView topLeftCell="A16" workbookViewId="0">
      <selection activeCell="L22" sqref="L22"/>
    </sheetView>
  </sheetViews>
  <sheetFormatPr defaultColWidth="9" defaultRowHeight="16.5"/>
  <cols>
    <col min="1" max="4" width="9" style="137"/>
    <col min="5" max="5" width="15.125" style="137" customWidth="1"/>
    <col min="6" max="16384" width="9" style="137"/>
  </cols>
  <sheetData/>
  <phoneticPr fontId="6" type="noConversion"/>
  <pageMargins left="0.7" right="0.7" top="0.75" bottom="0.75" header="0.3" footer="0.3"/>
  <pageSetup paperSize="9" orientation="landscape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99144-41D1-418C-B3BD-AC3D73A84D60}">
  <sheetPr>
    <pageSetUpPr fitToPage="1"/>
  </sheetPr>
  <dimension ref="A1:R2"/>
  <sheetViews>
    <sheetView tabSelected="1" workbookViewId="0">
      <selection activeCell="F3" sqref="F3"/>
    </sheetView>
  </sheetViews>
  <sheetFormatPr defaultColWidth="9" defaultRowHeight="16.5"/>
  <cols>
    <col min="1" max="1" width="11.125" style="137" customWidth="1"/>
    <col min="2" max="2" width="13.375" style="137" customWidth="1"/>
    <col min="3" max="3" width="38.75" style="137" customWidth="1"/>
    <col min="4" max="4" width="28.75" style="137" customWidth="1"/>
    <col min="5" max="5" width="5" style="137" customWidth="1"/>
    <col min="6" max="6" width="6.25" style="137" customWidth="1"/>
    <col min="7" max="7" width="10" style="137" customWidth="1"/>
    <col min="8" max="8" width="11.875" style="137" customWidth="1"/>
    <col min="9" max="9" width="10" style="137" customWidth="1"/>
    <col min="10" max="10" width="11.875" style="137" customWidth="1"/>
    <col min="11" max="11" width="10" style="137" customWidth="1"/>
    <col min="12" max="12" width="11.875" style="137" customWidth="1"/>
    <col min="13" max="13" width="10" style="137" customWidth="1"/>
    <col min="14" max="14" width="11.875" style="137" customWidth="1"/>
    <col min="15" max="15" width="9.125" style="137" customWidth="1"/>
    <col min="16" max="16" width="11.5" style="137" customWidth="1"/>
    <col min="17" max="17" width="11.75" style="137" customWidth="1"/>
    <col min="18" max="18" width="17.875" style="137" customWidth="1"/>
    <col min="19" max="16384" width="9" style="137"/>
  </cols>
  <sheetData>
    <row r="1" spans="1:18" ht="18" customHeight="1">
      <c r="A1" s="89" t="s">
        <v>119</v>
      </c>
      <c r="B1" s="136" t="s">
        <v>120</v>
      </c>
      <c r="C1" s="136" t="s">
        <v>121</v>
      </c>
      <c r="D1" s="136" t="s">
        <v>122</v>
      </c>
      <c r="E1" s="136" t="s">
        <v>47</v>
      </c>
      <c r="F1" s="136" t="s">
        <v>5</v>
      </c>
      <c r="G1" s="136" t="s">
        <v>123</v>
      </c>
      <c r="H1" s="136" t="s">
        <v>124</v>
      </c>
      <c r="I1" s="136" t="s">
        <v>125</v>
      </c>
      <c r="J1" s="136" t="s">
        <v>126</v>
      </c>
      <c r="K1" s="136" t="s">
        <v>127</v>
      </c>
      <c r="L1" s="136" t="s">
        <v>128</v>
      </c>
      <c r="M1" s="136" t="s">
        <v>129</v>
      </c>
      <c r="N1" s="136" t="s">
        <v>130</v>
      </c>
      <c r="O1" s="136" t="s">
        <v>131</v>
      </c>
      <c r="P1" s="136" t="s">
        <v>132</v>
      </c>
      <c r="Q1" s="136" t="s">
        <v>133</v>
      </c>
      <c r="R1" s="136" t="s">
        <v>134</v>
      </c>
    </row>
    <row r="2" spans="1:18">
      <c r="A2" s="66">
        <v>999999</v>
      </c>
      <c r="B2" s="110" t="s">
        <v>135</v>
      </c>
      <c r="C2" s="140" t="s">
        <v>136</v>
      </c>
      <c r="D2" s="141" t="s">
        <v>114</v>
      </c>
      <c r="E2" s="66" t="s">
        <v>137</v>
      </c>
      <c r="F2" s="138">
        <v>1</v>
      </c>
      <c r="G2" s="139">
        <v>68000</v>
      </c>
      <c r="H2" s="139"/>
      <c r="I2" s="139"/>
      <c r="J2" s="110"/>
      <c r="K2" s="110"/>
      <c r="L2" s="110"/>
      <c r="M2" s="110"/>
      <c r="N2" s="110"/>
      <c r="O2" s="110"/>
      <c r="P2" s="110"/>
      <c r="Q2" s="110"/>
      <c r="R2" s="110"/>
    </row>
  </sheetData>
  <phoneticPr fontId="6" type="noConversion"/>
  <pageMargins left="0.7" right="0.7" top="0.75" bottom="0.75" header="0.3" footer="0.3"/>
  <pageSetup paperSize="9" scale="49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1"/>
  <sheetViews>
    <sheetView showGridLines="0" zoomScaleNormal="100" workbookViewId="0">
      <selection activeCell="J32" sqref="J32"/>
    </sheetView>
  </sheetViews>
  <sheetFormatPr defaultColWidth="9" defaultRowHeight="14.2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8"/>
  </cols>
  <sheetData>
    <row r="1" spans="1:6" ht="18" customHeight="1">
      <c r="A1" s="89" t="s">
        <v>0</v>
      </c>
      <c r="B1" s="89" t="s">
        <v>1</v>
      </c>
      <c r="C1" s="89" t="s">
        <v>2</v>
      </c>
      <c r="D1" s="89" t="s">
        <v>3</v>
      </c>
      <c r="E1" s="89" t="s">
        <v>4</v>
      </c>
      <c r="F1" s="89" t="s">
        <v>5</v>
      </c>
    </row>
    <row r="2" spans="1:6">
      <c r="A2" s="90" t="str">
        <f>'내역서(표준단가)'!A5</f>
        <v>M020853710050101</v>
      </c>
      <c r="B2" s="91">
        <f>'내역서(표준단가)'!F5</f>
        <v>0</v>
      </c>
      <c r="C2" s="91">
        <f>'내역서(표준단가)'!G5</f>
        <v>0</v>
      </c>
      <c r="D2" s="91" t="str">
        <f>'내역서(표준단가)'!H5</f>
        <v>M020853710050101</v>
      </c>
      <c r="E2" s="91">
        <f>'내역서(표준단가)'!I5</f>
        <v>0</v>
      </c>
      <c r="F2" s="93">
        <f>'내역서(표준단가)'!M5</f>
        <v>7.2683999999999997</v>
      </c>
    </row>
    <row r="3" spans="1:6">
      <c r="A3" s="90" t="str">
        <f>'내역서(표준단가)'!A6</f>
        <v>E00000803071260301</v>
      </c>
      <c r="B3" s="91">
        <f>'내역서(표준단가)'!F6</f>
        <v>0</v>
      </c>
      <c r="C3" s="91" t="str">
        <f>'내역서(표준단가)'!G6</f>
        <v>E00000803071260301</v>
      </c>
      <c r="D3" s="91">
        <f>'내역서(표준단가)'!H6</f>
        <v>0</v>
      </c>
      <c r="E3" s="91">
        <f>'내역서(표준단가)'!I6</f>
        <v>0</v>
      </c>
      <c r="F3" s="93">
        <f>'내역서(표준단가)'!M6</f>
        <v>2.6086999999999998</v>
      </c>
    </row>
    <row r="4" spans="1:6">
      <c r="A4" s="90" t="str">
        <f>'내역서(표준단가)'!A7</f>
        <v>M020852810150101</v>
      </c>
      <c r="B4" s="91">
        <f>'내역서(표준단가)'!F7</f>
        <v>0</v>
      </c>
      <c r="C4" s="91">
        <f>'내역서(표준단가)'!G7</f>
        <v>0</v>
      </c>
      <c r="D4" s="91" t="str">
        <f>'내역서(표준단가)'!H7</f>
        <v>M020852810150101</v>
      </c>
      <c r="E4" s="91">
        <f>'내역서(표준단가)'!I7</f>
        <v>0</v>
      </c>
      <c r="F4" s="93">
        <f>'내역서(표준단가)'!M7</f>
        <v>5</v>
      </c>
    </row>
    <row r="5" spans="1:6">
      <c r="A5" s="90" t="str">
        <f>'내역서(표준단가)'!A8</f>
        <v>M020690710060101</v>
      </c>
      <c r="B5" s="91">
        <f>'내역서(표준단가)'!F8</f>
        <v>0</v>
      </c>
      <c r="C5" s="91">
        <f>'내역서(표준단가)'!G8</f>
        <v>0</v>
      </c>
      <c r="D5" s="91" t="str">
        <f>'내역서(표준단가)'!H8</f>
        <v>M020690710060101</v>
      </c>
      <c r="E5" s="91">
        <f>'내역서(표준단가)'!I8</f>
        <v>0</v>
      </c>
      <c r="F5" s="93">
        <f>'내역서(표준단가)'!M8</f>
        <v>3</v>
      </c>
    </row>
    <row r="6" spans="1:6">
      <c r="A6" s="90" t="str">
        <f>'내역서(표준단가)'!A9</f>
        <v>M020691410070101</v>
      </c>
      <c r="B6" s="91">
        <f>'내역서(표준단가)'!F9</f>
        <v>0</v>
      </c>
      <c r="C6" s="91">
        <f>'내역서(표준단가)'!G9</f>
        <v>0</v>
      </c>
      <c r="D6" s="91" t="str">
        <f>'내역서(표준단가)'!H9</f>
        <v>M020691410070101</v>
      </c>
      <c r="E6" s="91">
        <f>'내역서(표준단가)'!I9</f>
        <v>0</v>
      </c>
      <c r="F6" s="93">
        <f>'내역서(표준단가)'!M9</f>
        <v>1</v>
      </c>
    </row>
    <row r="7" spans="1:6">
      <c r="A7" s="90" t="str">
        <f>'내역서(표준단가)'!A10</f>
        <v>L003</v>
      </c>
      <c r="B7" s="91">
        <f>'내역서(표준단가)'!F10</f>
        <v>0</v>
      </c>
      <c r="C7" s="91">
        <f>'내역서(표준단가)'!G10</f>
        <v>0</v>
      </c>
      <c r="D7" s="91">
        <f>'내역서(표준단가)'!H10</f>
        <v>0</v>
      </c>
      <c r="E7" s="91" t="str">
        <f>'내역서(표준단가)'!I10</f>
        <v>L003</v>
      </c>
      <c r="F7" s="93">
        <f>'내역서(표준단가)'!M10</f>
        <v>2.5</v>
      </c>
    </row>
    <row r="8" spans="1:6">
      <c r="A8" s="90" t="str">
        <f>'내역서(표준단가)'!A11</f>
        <v>L003</v>
      </c>
      <c r="B8" s="91">
        <f>'내역서(표준단가)'!F11</f>
        <v>0</v>
      </c>
      <c r="C8" s="91">
        <f>'내역서(표준단가)'!G11</f>
        <v>0</v>
      </c>
      <c r="D8" s="91">
        <f>'내역서(표준단가)'!H11</f>
        <v>0</v>
      </c>
      <c r="E8" s="91" t="str">
        <f>'내역서(표준단가)'!I11</f>
        <v>L003</v>
      </c>
      <c r="F8" s="93">
        <f>'내역서(표준단가)'!M11</f>
        <v>1.5</v>
      </c>
    </row>
    <row r="9" spans="1:6">
      <c r="A9" s="90" t="str">
        <f>'내역서(표준단가)'!A12</f>
        <v>L003</v>
      </c>
      <c r="B9" s="91">
        <f>'내역서(표준단가)'!F12</f>
        <v>0</v>
      </c>
      <c r="C9" s="91">
        <f>'내역서(표준단가)'!G12</f>
        <v>0</v>
      </c>
      <c r="D9" s="91">
        <f>'내역서(표준단가)'!H12</f>
        <v>0</v>
      </c>
      <c r="E9" s="91" t="str">
        <f>'내역서(표준단가)'!I12</f>
        <v>L003</v>
      </c>
      <c r="F9" s="93">
        <f>'내역서(표준단가)'!M12</f>
        <v>1</v>
      </c>
    </row>
    <row r="10" spans="1:6">
      <c r="A10" s="90" t="str">
        <f>'내역서(표준단가)'!A13</f>
        <v>M020252912050101</v>
      </c>
      <c r="B10" s="91">
        <f>'내역서(표준단가)'!F13</f>
        <v>0</v>
      </c>
      <c r="C10" s="91">
        <f>'내역서(표준단가)'!G13</f>
        <v>0</v>
      </c>
      <c r="D10" s="91" t="str">
        <f>'내역서(표준단가)'!H13</f>
        <v>M020252912050101</v>
      </c>
      <c r="E10" s="91">
        <f>'내역서(표준단가)'!I13</f>
        <v>0</v>
      </c>
      <c r="F10" s="93">
        <f>'내역서(표준단가)'!M13</f>
        <v>1</v>
      </c>
    </row>
    <row r="11" spans="1:6">
      <c r="A11" s="90" t="str">
        <f>'내역서(표준단가)'!A14</f>
        <v>L002</v>
      </c>
      <c r="B11" s="91">
        <f>'내역서(표준단가)'!F14</f>
        <v>0</v>
      </c>
      <c r="C11" s="91">
        <f>'내역서(표준단가)'!G14</f>
        <v>0</v>
      </c>
      <c r="D11" s="91">
        <f>'내역서(표준단가)'!H14</f>
        <v>0</v>
      </c>
      <c r="E11" s="91" t="str">
        <f>'내역서(표준단가)'!I14</f>
        <v>L002</v>
      </c>
      <c r="F11" s="93">
        <f>'내역서(표준단가)'!M14</f>
        <v>0.5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</vt:lpstr>
      <vt:lpstr>Upload-rrr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2025-11-17T01:55:18Z</dcterms:modified>
</cp:coreProperties>
</file>
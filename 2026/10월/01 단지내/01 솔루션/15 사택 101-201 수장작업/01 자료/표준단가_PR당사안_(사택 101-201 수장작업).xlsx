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4F48DCF9-D53C-4255-A5BD-D85A3B9EB9F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6" i="9"/>
  <c r="Q5" i="9"/>
  <c r="J24" i="12" l="1"/>
  <c r="J23" i="12"/>
  <c r="J26" i="12"/>
  <c r="J25" i="12"/>
  <c r="J27" i="12" s="1"/>
  <c r="J22" i="12"/>
  <c r="J28" i="12" s="1"/>
  <c r="J20" i="12" s="1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30" i="12" l="1"/>
  <c r="Q5" i="4"/>
  <c r="O5" i="4"/>
  <c r="M5" i="4"/>
  <c r="K5" i="4"/>
  <c r="A5" i="4"/>
  <c r="A2" i="10" s="1"/>
  <c r="M32" i="12" l="1"/>
  <c r="B15" i="12" s="1"/>
  <c r="R5" i="4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R8" i="4"/>
  <c r="R11" i="4"/>
  <c r="R10" i="4"/>
  <c r="Q13" i="4" l="1"/>
  <c r="K13" i="4"/>
  <c r="O13" i="4"/>
  <c r="R13" i="4" l="1"/>
</calcChain>
</file>

<file path=xl/sharedStrings.xml><?xml version="1.0" encoding="utf-8"?>
<sst xmlns="http://schemas.openxmlformats.org/spreadsheetml/2006/main" count="218" uniqueCount="169">
  <si>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</si>
  <si>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</si>
  <si>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</si>
  <si>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</si>
  <si>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</si>
  <si>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</si>
  <si>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</si>
  <si>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</si>
  <si>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</si>
  <si>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</si>
  <si>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</si>
  <si>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</si>
  <si>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</si>
  <si>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</si>
  <si>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</si>
  <si>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</si>
  <si>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</si>
  <si>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</si>
  <si>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</si>
  <si>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</si>
  <si>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</si>
  <si>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</si>
  <si>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</si>
  <si>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</si>
  <si>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</si>
  <si>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</si>
  <si>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</si>
  <si>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</si>
  <si>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</si>
  <si>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</si>
  <si>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</si>
  <si>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</si>
  <si>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</si>
  <si>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</si>
  <si>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</si>
  <si>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</si>
  <si>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</si>
  <si>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</si>
  <si>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</si>
  <si>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</si>
  <si>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</si>
  <si>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</si>
  <si>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</si>
  <si>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</si>
  <si>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</si>
  <si>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</si>
  <si>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</si>
  <si>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</si>
  <si>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</si>
  <si>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</si>
  <si>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</si>
  <si>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</si>
  <si>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</si>
  <si>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</si>
  <si>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</si>
  <si>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</si>
  <si>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</si>
  <si>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</si>
  <si>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</si>
  <si>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</si>
  <si>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</si>
  <si>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</si>
  <si>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</si>
  <si>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</si>
  <si>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</si>
  <si>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</si>
  <si>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</si>
  <si>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</si>
  <si>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</si>
  <si>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</si>
  <si>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</si>
  <si>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</si>
  <si>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</si>
  <si>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</si>
  <si>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</si>
  <si>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</si>
  <si>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</si>
  <si>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</si>
  <si>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</si>
  <si>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</si>
  <si>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</si>
  <si>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</si>
  <si>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</si>
  <si>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</si>
  <si>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</si>
  <si>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</si>
  <si>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</si>
  <si>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</si>
  <si>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</si>
  <si>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</si>
  <si>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</si>
  <si>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</si>
  <si>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</si>
  <si>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</si>
  <si>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</si>
  <si>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</si>
  <si>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</si>
  <si>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</si>
  <si>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</si>
  <si>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</si>
  <si>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</si>
  <si>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사택 사택 101-201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</si>
  <si>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소요량186/16.51=11.2653R/L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</si>
  <si>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</si>
  <si>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</si>
  <si>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</si>
  <si>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</si>
  <si>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</si>
  <si>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</si>
  <si>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</si>
  <si>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</si>
  <si>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</si>
  <si>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</si>
  <si>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</si>
  <si>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</si>
  <si>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</si>
  <si>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</si>
  <si>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</si>
  <si>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</si>
  <si>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</si>
  <si>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</si>
  <si>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</si>
  <si>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</si>
  <si>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</si>
  <si>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</si>
  <si>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</si>
  <si>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</si>
  <si>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</si>
  <si>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</si>
  <si>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</si>
  <si>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</si>
  <si>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</si>
  <si>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</si>
  <si>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</si>
  <si>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</si>
  <si>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</si>
  <si>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</si>
  <si>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</si>
  <si>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</si>
  <si>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</si>
  <si>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</si>
  <si>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</si>
  <si>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</si>
  <si>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</si>
  <si>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</si>
  <si>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</si>
  <si>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</si>
  <si>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</si>
  <si>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</si>
  <si>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</si>
  <si>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</si>
  <si>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</si>
  <si>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</si>
  <si>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</si>
  <si>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</si>
  <si>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</si>
  <si>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</si>
  <si>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</si>
  <si>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</si>
  <si>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</si>
  <si>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</si>
  <si>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</si>
  <si>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</si>
  <si>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</si>
  <si>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</si>
  <si>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</si>
  <si>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</si>
  <si>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101-201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</si>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</sst>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183" fontId="19" fillId="6" borderId="10" xfId="11" applyNumberFormat="1" applyFont="1" applyFill="1" applyBorder="1" applyAlignment="1">
      <alignment horizontal="center" vertical="center"/>
    </xf>
    <xf numFmtId="176" fontId="19" fillId="6" borderId="10" xfId="11" applyFont="1" applyFill="1" applyBorder="1" applyAlignment="1">
      <alignment horizontal="center" vertical="center"/>
    </xf>
    <xf numFmtId="191" fontId="19" fillId="6" borderId="10" xfId="11" applyNumberFormat="1" applyFont="1" applyFill="1" applyBorder="1" applyAlignment="1">
      <alignment horizontal="center" vertical="center"/>
    </xf>
    <xf numFmtId="181" fontId="25" fillId="6" borderId="10" xfId="11" applyNumberFormat="1" applyFont="1" applyFill="1" applyBorder="1" applyAlignment="1">
      <alignment horizontal="right" vertical="center" wrapText="1"/>
    </xf>
    <xf numFmtId="181" fontId="19" fillId="6" borderId="10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9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5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36" fillId="0" borderId="7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5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0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4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9" xfId="17" applyFont="1" applyFill="1" applyBorder="1" applyAlignment="1">
      <alignment vertical="center"/>
    </xf>
    <xf numFmtId="0" fontId="28" fillId="0" borderId="9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1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2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12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3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3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2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3" xfId="21" applyFont="1" applyBorder="1" applyAlignment="1">
      <alignment horizontal="center" vertical="center"/>
    </xf>
    <xf numFmtId="176" fontId="28" fillId="0" borderId="12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2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9" borderId="23" xfId="17" applyFont="1" applyFill="1" applyBorder="1" applyAlignment="1">
      <alignment horizontal="center" vertical="center"/>
    </xf>
    <xf numFmtId="0" fontId="28" fillId="9" borderId="24" xfId="17" applyFont="1" applyFill="1" applyBorder="1" applyAlignment="1">
      <alignment horizontal="center" vertical="center"/>
    </xf>
    <xf numFmtId="0" fontId="28" fillId="9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3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2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7625C0E-F068-46DD-B710-BDEFDCAE7D27}"/>
    <cellStyle name="쉼표 [0] 2 84" xfId="24" xr:uid="{96949633-7B74-47AF-8FDF-459E84C9A634}"/>
    <cellStyle name="쉼표 [0] 3" xfId="14" xr:uid="{8F7BE219-40E1-4BBB-A9BD-02188B74B2A3}"/>
    <cellStyle name="쉼표 [0] 4" xfId="21" xr:uid="{210DF5FE-3229-4315-A647-5E75EF37F729}"/>
    <cellStyle name="쉼표 [0] 5" xfId="23" xr:uid="{63FEC5A4-958C-4B45-B207-B76466F1B96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7E3688D-95D2-4110-A05C-9D1609905FB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7FB2015-03D5-41A9-9BE1-1F6AA887B851}"/>
    <cellStyle name="표준_P456 공장 및 복지동 전면 유리창 청소건 라상혁님_1129(최종)" xfId="20" xr:uid="{74720382-57E6-4D6A-91C7-1D0200FB23D7}"/>
    <cellStyle name="표준_S&amp;D_MAIN VALVE_최빈_2" xfId="17" xr:uid="{85EB3606-A550-4E54-AA80-3109E44D3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0EB995-F45C-4BC9-A90E-90890A8FC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F37CF5-A599-417D-94EA-A782886C7A0E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C09E-09C0-4A76-93DB-53A1C3A17CC1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>
      <c r="A3" s="258" t="s">
        <v>103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>
      <c r="A4" s="108" t="s">
        <v>104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>
      <c r="A5" s="113"/>
      <c r="B5" s="169" t="s">
        <v>168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>
      <c r="A7" s="261" t="s">
        <v>105</v>
      </c>
      <c r="B7" s="262"/>
      <c r="C7" s="263"/>
      <c r="D7" s="171">
        <v>2026</v>
      </c>
      <c r="E7" s="121" t="s">
        <v>106</v>
      </c>
      <c r="F7" s="172">
        <v>7</v>
      </c>
      <c r="G7" s="121" t="s">
        <v>107</v>
      </c>
      <c r="H7" s="172">
        <v>21</v>
      </c>
      <c r="I7" s="121" t="s">
        <v>108</v>
      </c>
      <c r="J7" s="122"/>
      <c r="K7" s="264" t="s">
        <v>109</v>
      </c>
      <c r="L7" s="123" t="s">
        <v>110</v>
      </c>
      <c r="M7" s="123" t="s">
        <v>111</v>
      </c>
      <c r="N7" s="123" t="s">
        <v>112</v>
      </c>
      <c r="O7" s="124" t="s">
        <v>113</v>
      </c>
    </row>
    <row r="8" spans="1:15" ht="23.25" customHeight="1">
      <c r="A8" s="267" t="s">
        <v>114</v>
      </c>
      <c r="B8" s="268"/>
      <c r="C8" s="269"/>
      <c r="D8" s="270" t="s">
        <v>115</v>
      </c>
      <c r="E8" s="271"/>
      <c r="F8" s="271"/>
      <c r="G8" s="272"/>
      <c r="H8" s="273" t="s">
        <v>116</v>
      </c>
      <c r="I8" s="271"/>
      <c r="J8" s="274"/>
      <c r="K8" s="265"/>
      <c r="L8" s="125" t="s">
        <v>117</v>
      </c>
      <c r="M8" s="125" t="s">
        <v>118</v>
      </c>
      <c r="N8" s="125" t="s">
        <v>119</v>
      </c>
      <c r="O8" s="126" t="s">
        <v>120</v>
      </c>
    </row>
    <row r="9" spans="1:15" ht="23.25" customHeight="1">
      <c r="A9" s="267" t="s">
        <v>121</v>
      </c>
      <c r="B9" s="268"/>
      <c r="C9" s="269"/>
      <c r="D9" s="275" t="s">
        <v>122</v>
      </c>
      <c r="E9" s="276"/>
      <c r="F9" s="276"/>
      <c r="G9" s="276"/>
      <c r="H9" s="276"/>
      <c r="I9" s="276"/>
      <c r="J9" s="277"/>
      <c r="K9" s="265"/>
      <c r="L9" s="125" t="s">
        <v>123</v>
      </c>
      <c r="M9" s="278" t="s">
        <v>124</v>
      </c>
      <c r="N9" s="268"/>
      <c r="O9" s="269"/>
    </row>
    <row r="10" spans="1:15" ht="23.25" customHeight="1" thickBot="1">
      <c r="A10" s="279" t="s">
        <v>125</v>
      </c>
      <c r="B10" s="280"/>
      <c r="C10" s="281"/>
      <c r="D10" s="282" t="s">
        <v>126</v>
      </c>
      <c r="E10" s="283"/>
      <c r="F10" s="283"/>
      <c r="G10" s="283"/>
      <c r="H10" s="283"/>
      <c r="I10" s="283"/>
      <c r="J10" s="284"/>
      <c r="K10" s="266"/>
      <c r="L10" s="127" t="s">
        <v>127</v>
      </c>
      <c r="M10" s="127" t="s">
        <v>128</v>
      </c>
      <c r="N10" s="127" t="s">
        <v>129</v>
      </c>
      <c r="O10" s="128" t="s">
        <v>130</v>
      </c>
    </row>
    <row r="11" spans="1:15" ht="21.75" customHeight="1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>
      <c r="A13" s="135"/>
      <c r="B13" s="254" t="s">
        <v>167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131</v>
      </c>
      <c r="O13" s="134"/>
    </row>
    <row r="14" spans="1:15" ht="9" customHeight="1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>
      <c r="A15" s="135"/>
      <c r="B15" s="237" t="str">
        <f>"견 적 금 액 : 一金"&amp;NUMBERSTRING(M32,1) &amp; "원정""(\"&amp; TEXT(M32,"#,###")&amp;"원) [VAT 별도]"</f>
        <v>견 적 금 액 : 一金사백팔십팔만일천오백칠십오원정"(\4,881,575원)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>
      <c r="A17" s="137" t="s">
        <v>132</v>
      </c>
      <c r="B17" s="247" t="s">
        <v>133</v>
      </c>
      <c r="C17" s="248"/>
      <c r="D17" s="248"/>
      <c r="E17" s="248"/>
      <c r="F17" s="248"/>
      <c r="G17" s="249"/>
      <c r="H17" s="138" t="s">
        <v>134</v>
      </c>
      <c r="I17" s="139" t="s">
        <v>135</v>
      </c>
      <c r="J17" s="250" t="s">
        <v>136</v>
      </c>
      <c r="K17" s="251"/>
      <c r="L17" s="251"/>
      <c r="M17" s="252"/>
      <c r="N17" s="247" t="s">
        <v>137</v>
      </c>
      <c r="O17" s="253"/>
    </row>
    <row r="18" spans="1:17" ht="28.5" customHeight="1">
      <c r="A18" s="140">
        <v>1</v>
      </c>
      <c r="B18" s="241" t="s">
        <v>42</v>
      </c>
      <c r="C18" s="242"/>
      <c r="D18" s="242"/>
      <c r="E18" s="242"/>
      <c r="F18" s="242"/>
      <c r="G18" s="243"/>
      <c r="H18" s="173">
        <v>1</v>
      </c>
      <c r="I18" s="174" t="s">
        <v>1</v>
      </c>
      <c r="J18" s="244">
        <f>IFERROR(LOOKUP(2, 1/(TRIM('내역서(표준단가)'!K4:K100)&lt;&gt;""), '내역서(표준단가)'!K4:K100), "-")</f>
        <v>883837.89749999996</v>
      </c>
      <c r="K18" s="244"/>
      <c r="L18" s="244"/>
      <c r="M18" s="244"/>
      <c r="N18" s="245"/>
      <c r="O18" s="246"/>
    </row>
    <row r="19" spans="1:17" ht="28.5" customHeight="1">
      <c r="A19" s="141">
        <v>2</v>
      </c>
      <c r="B19" s="221" t="s">
        <v>43</v>
      </c>
      <c r="C19" s="222"/>
      <c r="D19" s="222"/>
      <c r="E19" s="222"/>
      <c r="F19" s="222"/>
      <c r="G19" s="223"/>
      <c r="H19" s="175">
        <v>1</v>
      </c>
      <c r="I19" s="175" t="s">
        <v>1</v>
      </c>
      <c r="J19" s="224">
        <f>IFERROR(LOOKUP(2, 1/(TRIM('내역서(표준단가)'!M4:M100)&lt;&gt;""), '내역서(표준단가)'!M4:M100), "-")</f>
        <v>2966699.8602739996</v>
      </c>
      <c r="K19" s="225"/>
      <c r="L19" s="225"/>
      <c r="M19" s="226"/>
      <c r="N19" s="227"/>
      <c r="O19" s="228"/>
    </row>
    <row r="20" spans="1:17" ht="28.5" customHeight="1">
      <c r="A20" s="141">
        <v>3</v>
      </c>
      <c r="B20" s="229" t="s">
        <v>138</v>
      </c>
      <c r="C20" s="230"/>
      <c r="D20" s="230"/>
      <c r="E20" s="230"/>
      <c r="F20" s="230"/>
      <c r="G20" s="231"/>
      <c r="H20" s="142">
        <v>1</v>
      </c>
      <c r="I20" s="142" t="s">
        <v>1</v>
      </c>
      <c r="J20" s="232">
        <f>IFERROR(SUM(J21:M29),"-")</f>
        <v>516915.19702211657</v>
      </c>
      <c r="K20" s="233"/>
      <c r="L20" s="233"/>
      <c r="M20" s="234"/>
      <c r="N20" s="235"/>
      <c r="O20" s="236"/>
      <c r="P20" s="143"/>
    </row>
    <row r="21" spans="1:17" ht="28.5" customHeight="1">
      <c r="A21" s="140"/>
      <c r="B21" s="144"/>
      <c r="C21" s="213" t="s">
        <v>139</v>
      </c>
      <c r="D21" s="214"/>
      <c r="E21" s="214"/>
      <c r="F21" s="214"/>
      <c r="G21" s="215"/>
      <c r="H21" s="176">
        <v>1</v>
      </c>
      <c r="I21" s="176" t="s">
        <v>1</v>
      </c>
      <c r="J21" s="21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7"/>
      <c r="L21" s="217"/>
      <c r="M21" s="218"/>
      <c r="N21" s="219" t="s">
        <v>140</v>
      </c>
      <c r="O21" s="220"/>
    </row>
    <row r="22" spans="1:17" ht="28.5" customHeight="1">
      <c r="A22" s="140"/>
      <c r="B22" s="144"/>
      <c r="C22" s="207" t="s">
        <v>141</v>
      </c>
      <c r="D22" s="208"/>
      <c r="E22" s="208"/>
      <c r="F22" s="208"/>
      <c r="G22" s="209"/>
      <c r="H22" s="145">
        <v>3.11</v>
      </c>
      <c r="I22" s="145" t="s">
        <v>142</v>
      </c>
      <c r="J22" s="210">
        <f>IFERROR((J18+J19)*H22%,"-")</f>
        <v>119751.72426677139</v>
      </c>
      <c r="K22" s="211"/>
      <c r="L22" s="211"/>
      <c r="M22" s="212"/>
      <c r="N22" s="203" t="s">
        <v>143</v>
      </c>
      <c r="O22" s="204"/>
    </row>
    <row r="23" spans="1:17" ht="28.5" customHeight="1">
      <c r="A23" s="140"/>
      <c r="B23" s="144"/>
      <c r="C23" s="207" t="s">
        <v>144</v>
      </c>
      <c r="D23" s="208"/>
      <c r="E23" s="208"/>
      <c r="F23" s="208"/>
      <c r="G23" s="209"/>
      <c r="H23" s="145">
        <v>3.56</v>
      </c>
      <c r="I23" s="145" t="s">
        <v>145</v>
      </c>
      <c r="J23" s="210">
        <f>IFERROR(J19*H23%,"-")</f>
        <v>105614.51502575439</v>
      </c>
      <c r="K23" s="211"/>
      <c r="L23" s="211"/>
      <c r="M23" s="212"/>
      <c r="N23" s="203" t="s">
        <v>146</v>
      </c>
      <c r="O23" s="204"/>
    </row>
    <row r="24" spans="1:17" ht="28.5" customHeight="1">
      <c r="A24" s="140"/>
      <c r="B24" s="144"/>
      <c r="C24" s="207" t="s">
        <v>147</v>
      </c>
      <c r="D24" s="208"/>
      <c r="E24" s="208"/>
      <c r="F24" s="208"/>
      <c r="G24" s="209"/>
      <c r="H24" s="145">
        <v>1.01</v>
      </c>
      <c r="I24" s="145" t="s">
        <v>145</v>
      </c>
      <c r="J24" s="210">
        <f>IFERROR(J19*H24%,"-")</f>
        <v>29963.668588767396</v>
      </c>
      <c r="K24" s="211"/>
      <c r="L24" s="211"/>
      <c r="M24" s="212"/>
      <c r="N24" s="203" t="s">
        <v>148</v>
      </c>
      <c r="O24" s="204"/>
    </row>
    <row r="25" spans="1:17" ht="28.5" customHeight="1">
      <c r="A25" s="140"/>
      <c r="B25" s="144"/>
      <c r="C25" s="207" t="s">
        <v>149</v>
      </c>
      <c r="D25" s="208"/>
      <c r="E25" s="208"/>
      <c r="F25" s="208"/>
      <c r="G25" s="209"/>
      <c r="H25" s="146">
        <v>3.5950000000000002</v>
      </c>
      <c r="I25" s="145" t="s">
        <v>145</v>
      </c>
      <c r="J25" s="210">
        <f>IFERROR(J19*H25%,"-")</f>
        <v>106652.85997685029</v>
      </c>
      <c r="K25" s="211"/>
      <c r="L25" s="211"/>
      <c r="M25" s="212"/>
      <c r="N25" s="203" t="s">
        <v>150</v>
      </c>
      <c r="O25" s="204"/>
      <c r="Q25" s="143"/>
    </row>
    <row r="26" spans="1:17" ht="28.5" customHeight="1">
      <c r="A26" s="140"/>
      <c r="B26" s="144"/>
      <c r="C26" s="207" t="s">
        <v>151</v>
      </c>
      <c r="D26" s="208"/>
      <c r="E26" s="208"/>
      <c r="F26" s="208"/>
      <c r="G26" s="209"/>
      <c r="H26" s="145">
        <v>4.75</v>
      </c>
      <c r="I26" s="145" t="s">
        <v>145</v>
      </c>
      <c r="J26" s="210">
        <f>IFERROR(J19*H26%,"-")</f>
        <v>140918.24336301498</v>
      </c>
      <c r="K26" s="211"/>
      <c r="L26" s="211"/>
      <c r="M26" s="212"/>
      <c r="N26" s="203" t="s">
        <v>152</v>
      </c>
      <c r="O26" s="204"/>
      <c r="Q26" s="147"/>
    </row>
    <row r="27" spans="1:17" ht="28.5" customHeight="1">
      <c r="A27" s="140"/>
      <c r="B27" s="144"/>
      <c r="C27" s="197" t="s">
        <v>153</v>
      </c>
      <c r="D27" s="198"/>
      <c r="E27" s="198"/>
      <c r="F27" s="198"/>
      <c r="G27" s="199"/>
      <c r="H27" s="148">
        <v>13.14</v>
      </c>
      <c r="I27" s="149" t="s">
        <v>145</v>
      </c>
      <c r="J27" s="200">
        <f>IFERROR($H$27*J25%,"-")</f>
        <v>14014.18580095813</v>
      </c>
      <c r="K27" s="201"/>
      <c r="L27" s="201"/>
      <c r="M27" s="202"/>
      <c r="N27" s="203" t="s">
        <v>154</v>
      </c>
      <c r="O27" s="204"/>
    </row>
    <row r="28" spans="1:17" ht="28.5" customHeight="1">
      <c r="A28" s="140"/>
      <c r="B28" s="144"/>
      <c r="C28" s="197" t="s">
        <v>155</v>
      </c>
      <c r="D28" s="198"/>
      <c r="E28" s="198"/>
      <c r="F28" s="198"/>
      <c r="G28" s="199"/>
      <c r="H28" s="148">
        <v>8.1000000000000003E-2</v>
      </c>
      <c r="I28" s="149" t="s">
        <v>145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156</v>
      </c>
      <c r="O28" s="206"/>
    </row>
    <row r="29" spans="1:17" ht="28.5" customHeight="1">
      <c r="A29" s="150"/>
      <c r="B29" s="151"/>
      <c r="C29" s="177" t="s">
        <v>157</v>
      </c>
      <c r="D29" s="178"/>
      <c r="E29" s="178"/>
      <c r="F29" s="178"/>
      <c r="G29" s="179"/>
      <c r="H29" s="152">
        <v>1</v>
      </c>
      <c r="I29" s="153" t="s">
        <v>158</v>
      </c>
      <c r="J29" s="180">
        <f>34*0</f>
        <v>0</v>
      </c>
      <c r="K29" s="181"/>
      <c r="L29" s="181"/>
      <c r="M29" s="182"/>
      <c r="N29" s="183" t="s">
        <v>159</v>
      </c>
      <c r="O29" s="184"/>
    </row>
    <row r="30" spans="1:17" ht="28.5" customHeight="1">
      <c r="A30" s="150">
        <v>4</v>
      </c>
      <c r="B30" s="151"/>
      <c r="C30" s="177" t="s">
        <v>160</v>
      </c>
      <c r="D30" s="178"/>
      <c r="E30" s="178"/>
      <c r="F30" s="178"/>
      <c r="G30" s="179"/>
      <c r="H30" s="153">
        <v>5</v>
      </c>
      <c r="I30" s="154" t="s">
        <v>161</v>
      </c>
      <c r="J30" s="190">
        <f>IFERROR(IF(ISNUMBER(H30), SUM(J18:M20) * (H30 / 100), "-"), "-")</f>
        <v>218372.64773980581</v>
      </c>
      <c r="K30" s="191"/>
      <c r="L30" s="191"/>
      <c r="M30" s="192"/>
      <c r="N30" s="193" t="s">
        <v>162</v>
      </c>
      <c r="O30" s="194"/>
    </row>
    <row r="31" spans="1:17" ht="28.5" customHeight="1" thickBot="1">
      <c r="A31" s="150">
        <v>5</v>
      </c>
      <c r="B31" s="151"/>
      <c r="C31" s="177" t="s">
        <v>163</v>
      </c>
      <c r="D31" s="178"/>
      <c r="E31" s="178"/>
      <c r="F31" s="178"/>
      <c r="G31" s="179"/>
      <c r="H31" s="153">
        <v>7.5</v>
      </c>
      <c r="I31" s="154" t="s">
        <v>145</v>
      </c>
      <c r="J31" s="180">
        <f>IFERROR(SUM(J18:M20, J30) * (H31 / 100), "-")+-48187</f>
        <v>295749.92019019416</v>
      </c>
      <c r="K31" s="181"/>
      <c r="L31" s="181"/>
      <c r="M31" s="182"/>
      <c r="N31" s="195" t="s">
        <v>164</v>
      </c>
      <c r="O31" s="196"/>
      <c r="Q31" s="155"/>
    </row>
    <row r="32" spans="1:17" ht="28.5" customHeight="1" thickBot="1">
      <c r="A32" s="185" t="s">
        <v>165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4881575</v>
      </c>
      <c r="N32" s="188"/>
      <c r="O32" s="189"/>
      <c r="P32" s="159"/>
    </row>
    <row r="33" spans="1:15">
      <c r="A33" s="160" t="s">
        <v>166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>
      <c r="M42" s="155"/>
    </row>
    <row r="43" spans="1:15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85"/>
      <c r="B1" s="285"/>
      <c r="C1" s="285"/>
      <c r="D1" s="285"/>
      <c r="E1" s="285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85"/>
      <c r="B2" s="285"/>
      <c r="C2" s="285"/>
      <c r="D2" s="285"/>
      <c r="E2" s="285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96" t="s">
        <v>41</v>
      </c>
      <c r="G3" s="296"/>
      <c r="H3" s="294" t="s">
        <v>3</v>
      </c>
      <c r="I3" s="294" t="s">
        <v>0</v>
      </c>
      <c r="J3" s="290" t="s">
        <v>42</v>
      </c>
      <c r="K3" s="290"/>
      <c r="L3" s="290" t="s">
        <v>43</v>
      </c>
      <c r="M3" s="290"/>
      <c r="N3" s="291" t="s">
        <v>44</v>
      </c>
      <c r="O3" s="291"/>
      <c r="P3" s="291" t="s">
        <v>45</v>
      </c>
      <c r="Q3" s="291"/>
      <c r="R3" s="292" t="s">
        <v>46</v>
      </c>
      <c r="S3" s="288" t="s">
        <v>47</v>
      </c>
      <c r="T3" s="286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95"/>
      <c r="I4" s="295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93"/>
      <c r="S4" s="289"/>
      <c r="T4" s="287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80</v>
      </c>
      <c r="E5" s="34"/>
      <c r="F5" s="64" t="s">
        <v>81</v>
      </c>
      <c r="G5" s="64" t="s">
        <v>102</v>
      </c>
      <c r="H5" s="50" t="s">
        <v>94</v>
      </c>
      <c r="I5" s="63">
        <v>11.265000000000001</v>
      </c>
      <c r="J5" s="92">
        <v>20900</v>
      </c>
      <c r="K5" s="59">
        <f t="shared" ref="K5" si="1">SUM(J5:J5)*I5*$K$2</f>
        <v>196591.14749999999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196591.14749999999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95</v>
      </c>
      <c r="H6" s="10" t="s">
        <v>60</v>
      </c>
      <c r="I6" s="63">
        <v>4.0430000000000001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1723271.21811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72" customFormat="1" ht="38.1" customHeight="1">
      <c r="A7" s="8" t="str">
        <f t="shared" ref="A7" si="12">B7&amp;C7&amp;D7&amp;E7</f>
        <v>M020809012520101</v>
      </c>
      <c r="B7" s="34"/>
      <c r="C7" s="9"/>
      <c r="D7" s="9" t="s">
        <v>83</v>
      </c>
      <c r="E7" s="34"/>
      <c r="F7" s="64" t="s">
        <v>84</v>
      </c>
      <c r="G7" s="64" t="s">
        <v>85</v>
      </c>
      <c r="H7" s="50" t="s">
        <v>82</v>
      </c>
      <c r="I7" s="63">
        <v>61.8</v>
      </c>
      <c r="J7" s="62">
        <v>13000</v>
      </c>
      <c r="K7" s="59">
        <f t="shared" ref="K7:K11" si="13">SUM(J7:J7)*I7*$K$2</f>
        <v>670839</v>
      </c>
      <c r="L7" s="58"/>
      <c r="M7" s="59">
        <f t="shared" ref="M7:M12" si="14">(L7*I7)*$M$2</f>
        <v>0</v>
      </c>
      <c r="N7" s="60"/>
      <c r="O7" s="59">
        <f t="shared" ref="O7:O12" si="15">N7*I7*$O$2</f>
        <v>0</v>
      </c>
      <c r="P7" s="60"/>
      <c r="Q7" s="59">
        <f t="shared" ref="Q7:Q12" si="16">P7*I7*$Q$2</f>
        <v>0</v>
      </c>
      <c r="R7" s="12">
        <f t="shared" ref="R7:R12" si="17">SUM(K7+M7)+O7+Q7</f>
        <v>670839</v>
      </c>
      <c r="S7" s="49"/>
      <c r="T7" s="13"/>
    </row>
    <row r="8" spans="1:20" s="72" customFormat="1" ht="38.1" customHeight="1">
      <c r="A8" s="8" t="str">
        <f t="shared" ref="A8:A12" si="18">B8&amp;C8&amp;D8&amp;E8</f>
        <v>E00000803071260401</v>
      </c>
      <c r="B8" s="34"/>
      <c r="C8" s="9" t="s">
        <v>62</v>
      </c>
      <c r="D8" s="9"/>
      <c r="E8" s="34"/>
      <c r="F8" s="64" t="s">
        <v>63</v>
      </c>
      <c r="G8" s="64" t="s">
        <v>96</v>
      </c>
      <c r="H8" s="10" t="s">
        <v>60</v>
      </c>
      <c r="I8" s="63">
        <v>1.0132000000000001</v>
      </c>
      <c r="J8" s="61"/>
      <c r="K8" s="59">
        <f t="shared" si="13"/>
        <v>0</v>
      </c>
      <c r="L8" s="93">
        <v>510462</v>
      </c>
      <c r="M8" s="59">
        <f t="shared" si="14"/>
        <v>431862.08216400002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431862.08216400002</v>
      </c>
      <c r="S8" s="49"/>
      <c r="T8" s="13"/>
    </row>
    <row r="9" spans="1:20" s="72" customFormat="1" ht="38.1" customHeight="1">
      <c r="A9" s="8" t="str">
        <f t="shared" si="18"/>
        <v>M020412614110102</v>
      </c>
      <c r="B9" s="34"/>
      <c r="C9" s="9"/>
      <c r="D9" s="81" t="s">
        <v>77</v>
      </c>
      <c r="E9" s="34"/>
      <c r="F9" s="82" t="s">
        <v>76</v>
      </c>
      <c r="G9" s="82" t="s">
        <v>74</v>
      </c>
      <c r="H9" s="56" t="s">
        <v>73</v>
      </c>
      <c r="I9" s="63">
        <v>0.3</v>
      </c>
      <c r="J9" s="92">
        <v>65500</v>
      </c>
      <c r="K9" s="59">
        <f t="shared" si="13"/>
        <v>16407.75</v>
      </c>
      <c r="L9" s="58"/>
      <c r="M9" s="59"/>
      <c r="N9" s="60"/>
      <c r="O9" s="59"/>
      <c r="P9" s="60"/>
      <c r="Q9" s="59"/>
      <c r="R9" s="12">
        <f t="shared" si="17"/>
        <v>16407.75</v>
      </c>
      <c r="S9" s="49"/>
      <c r="T9" s="13"/>
    </row>
    <row r="10" spans="1:20" s="72" customFormat="1" ht="38.1" customHeight="1">
      <c r="A10" s="8" t="str">
        <f t="shared" si="18"/>
        <v>E00000803061120402</v>
      </c>
      <c r="B10" s="34"/>
      <c r="C10" s="9" t="s">
        <v>64</v>
      </c>
      <c r="D10" s="9"/>
      <c r="E10" s="34"/>
      <c r="F10" s="64" t="s">
        <v>65</v>
      </c>
      <c r="G10" s="64" t="s">
        <v>66</v>
      </c>
      <c r="H10" s="50" t="s">
        <v>71</v>
      </c>
      <c r="I10" s="63">
        <v>28</v>
      </c>
      <c r="J10" s="51"/>
      <c r="K10" s="11">
        <f t="shared" si="13"/>
        <v>0</v>
      </c>
      <c r="L10" s="94">
        <v>10752</v>
      </c>
      <c r="M10" s="11">
        <f t="shared" si="14"/>
        <v>251381.75999999998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251381.75999999998</v>
      </c>
      <c r="S10" s="49"/>
      <c r="T10" s="13"/>
    </row>
    <row r="11" spans="1:20" s="72" customFormat="1" ht="38.1" customHeight="1">
      <c r="A11" s="8" t="str">
        <f t="shared" si="18"/>
        <v>E00000803061300201</v>
      </c>
      <c r="B11" s="34"/>
      <c r="C11" s="9" t="s">
        <v>68</v>
      </c>
      <c r="D11" s="9"/>
      <c r="E11" s="34"/>
      <c r="F11" s="64" t="s">
        <v>69</v>
      </c>
      <c r="G11" s="64" t="s">
        <v>70</v>
      </c>
      <c r="H11" s="50" t="s">
        <v>67</v>
      </c>
      <c r="I11" s="63">
        <v>28</v>
      </c>
      <c r="J11" s="51"/>
      <c r="K11" s="11">
        <f t="shared" si="13"/>
        <v>0</v>
      </c>
      <c r="L11" s="93">
        <v>6368</v>
      </c>
      <c r="M11" s="11">
        <f t="shared" si="14"/>
        <v>148883.84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148883.84</v>
      </c>
      <c r="S11" s="49"/>
      <c r="T11" s="13"/>
    </row>
    <row r="12" spans="1:20" s="72" customFormat="1" ht="38.1" customHeight="1">
      <c r="A12" s="8" t="str">
        <f t="shared" si="18"/>
        <v>E00000801011510701</v>
      </c>
      <c r="B12" s="34"/>
      <c r="C12" s="9" t="s">
        <v>93</v>
      </c>
      <c r="D12" s="9"/>
      <c r="E12" s="34"/>
      <c r="F12" s="95" t="s">
        <v>99</v>
      </c>
      <c r="G12" s="10" t="s">
        <v>86</v>
      </c>
      <c r="H12" s="96" t="s">
        <v>100</v>
      </c>
      <c r="I12" s="63">
        <v>96</v>
      </c>
      <c r="J12" s="73"/>
      <c r="K12" s="11">
        <f t="shared" ref="K12" si="19">SUM(J12:J12)*I12*$K$2</f>
        <v>0</v>
      </c>
      <c r="L12" s="93">
        <v>5131</v>
      </c>
      <c r="M12" s="11">
        <f t="shared" si="14"/>
        <v>411300.95999999996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411300.95999999996</v>
      </c>
      <c r="S12" s="49"/>
      <c r="T12" s="13"/>
    </row>
    <row r="13" spans="1:20" s="79" customFormat="1" ht="38.1" customHeight="1">
      <c r="A13" s="74"/>
      <c r="B13" s="75"/>
      <c r="C13" s="75"/>
      <c r="D13" s="75"/>
      <c r="E13" s="75"/>
      <c r="F13" s="67"/>
      <c r="G13" s="67"/>
      <c r="H13" s="75"/>
      <c r="I13" s="75"/>
      <c r="J13" s="75"/>
      <c r="K13" s="76">
        <f>SUM(K5:K12)</f>
        <v>883837.89749999996</v>
      </c>
      <c r="L13" s="77"/>
      <c r="M13" s="76">
        <f>SUM(M5:M12)</f>
        <v>2966699.8602739996</v>
      </c>
      <c r="N13" s="77"/>
      <c r="O13" s="76">
        <f>SUM(O5:O12)</f>
        <v>0</v>
      </c>
      <c r="P13" s="77"/>
      <c r="Q13" s="76">
        <f>SUM(Q5:Q12)</f>
        <v>0</v>
      </c>
      <c r="R13" s="78">
        <f>SUM(R5:R12)</f>
        <v>3850537.7577739991</v>
      </c>
      <c r="S13" s="39"/>
      <c r="T13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C38" sqref="C38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99" t="s">
        <v>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7" ht="15" customHeight="1">
      <c r="A2" s="300" t="s">
        <v>5</v>
      </c>
      <c r="B2" s="301" t="s">
        <v>6</v>
      </c>
      <c r="C2" s="302" t="s">
        <v>3</v>
      </c>
      <c r="D2" s="302" t="s">
        <v>7</v>
      </c>
      <c r="E2" s="304" t="s">
        <v>8</v>
      </c>
      <c r="F2" s="301"/>
      <c r="G2" s="301" t="s">
        <v>9</v>
      </c>
      <c r="H2" s="301"/>
      <c r="I2" s="305" t="s">
        <v>10</v>
      </c>
      <c r="J2" s="306"/>
      <c r="K2" s="305" t="s">
        <v>11</v>
      </c>
      <c r="L2" s="306"/>
      <c r="M2" s="304" t="s">
        <v>12</v>
      </c>
      <c r="N2" s="301"/>
      <c r="O2" s="307" t="s">
        <v>13</v>
      </c>
    </row>
    <row r="3" spans="1:17" ht="15" customHeight="1">
      <c r="A3" s="300"/>
      <c r="B3" s="301"/>
      <c r="C3" s="303"/>
      <c r="D3" s="303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08"/>
    </row>
    <row r="4" spans="1:17" ht="15" customHeight="1">
      <c r="A4" s="297" t="s">
        <v>101</v>
      </c>
      <c r="B4" s="29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15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:F11" si="0">D5*E5</f>
        <v>89845</v>
      </c>
      <c r="G5" s="97">
        <v>9266</v>
      </c>
      <c r="H5" s="19">
        <f t="shared" ref="H5:H11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309" t="s">
        <v>78</v>
      </c>
      <c r="P5" s="14" t="s">
        <v>97</v>
      </c>
      <c r="Q5" s="91">
        <f>D5+D7+D9+D11</f>
        <v>186</v>
      </c>
    </row>
    <row r="6" spans="1:17" ht="15" customHeight="1">
      <c r="A6" s="316"/>
      <c r="B6" s="99" t="s">
        <v>20</v>
      </c>
      <c r="C6" s="100" t="s">
        <v>19</v>
      </c>
      <c r="D6" s="101"/>
      <c r="E6" s="102"/>
      <c r="F6" s="103"/>
      <c r="G6" s="102"/>
      <c r="H6" s="103"/>
      <c r="I6" s="103"/>
      <c r="J6" s="103"/>
      <c r="K6" s="103"/>
      <c r="L6" s="103"/>
      <c r="M6" s="103"/>
      <c r="N6" s="103"/>
      <c r="O6" s="310"/>
      <c r="P6" s="14" t="s">
        <v>98</v>
      </c>
      <c r="Q6" s="91">
        <f>D6+D8+D10+D12</f>
        <v>0</v>
      </c>
    </row>
    <row r="7" spans="1:17" ht="15" customHeight="1">
      <c r="A7" s="316"/>
      <c r="B7" s="17" t="s">
        <v>21</v>
      </c>
      <c r="C7" s="18" t="s">
        <v>19</v>
      </c>
      <c r="D7" s="83">
        <v>38</v>
      </c>
      <c r="E7" s="97">
        <v>1057</v>
      </c>
      <c r="F7" s="19">
        <f t="shared" si="0"/>
        <v>40166</v>
      </c>
      <c r="G7" s="97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ref="N7:N11" si="2">F7+H7+J7+L7</f>
        <v>392274</v>
      </c>
      <c r="O7" s="310"/>
    </row>
    <row r="8" spans="1:17" ht="15" customHeight="1">
      <c r="A8" s="316"/>
      <c r="B8" s="99" t="s">
        <v>22</v>
      </c>
      <c r="C8" s="100" t="s">
        <v>19</v>
      </c>
      <c r="D8" s="101"/>
      <c r="E8" s="102"/>
      <c r="F8" s="103"/>
      <c r="G8" s="102"/>
      <c r="H8" s="103"/>
      <c r="I8" s="103"/>
      <c r="J8" s="103"/>
      <c r="K8" s="103"/>
      <c r="L8" s="103"/>
      <c r="M8" s="103"/>
      <c r="N8" s="103"/>
      <c r="O8" s="310"/>
    </row>
    <row r="9" spans="1:17" ht="15" customHeight="1">
      <c r="A9" s="316"/>
      <c r="B9" s="17" t="s">
        <v>23</v>
      </c>
      <c r="C9" s="18" t="s">
        <v>19</v>
      </c>
      <c r="D9" s="83">
        <v>32</v>
      </c>
      <c r="E9" s="97">
        <v>1057</v>
      </c>
      <c r="F9" s="19">
        <f t="shared" si="0"/>
        <v>33824</v>
      </c>
      <c r="G9" s="97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310"/>
    </row>
    <row r="10" spans="1:17" ht="15" customHeight="1">
      <c r="A10" s="316"/>
      <c r="B10" s="99" t="s">
        <v>24</v>
      </c>
      <c r="C10" s="100" t="s">
        <v>19</v>
      </c>
      <c r="D10" s="101"/>
      <c r="E10" s="102"/>
      <c r="F10" s="103"/>
      <c r="G10" s="102"/>
      <c r="H10" s="103"/>
      <c r="I10" s="103"/>
      <c r="J10" s="103"/>
      <c r="K10" s="103"/>
      <c r="L10" s="103"/>
      <c r="M10" s="103"/>
      <c r="N10" s="103"/>
      <c r="O10" s="310"/>
    </row>
    <row r="11" spans="1:17" ht="15" customHeight="1">
      <c r="A11" s="316"/>
      <c r="B11" s="17" t="s">
        <v>25</v>
      </c>
      <c r="C11" s="18" t="s">
        <v>19</v>
      </c>
      <c r="D11" s="83">
        <v>31</v>
      </c>
      <c r="E11" s="97">
        <v>1057</v>
      </c>
      <c r="F11" s="19">
        <f t="shared" si="0"/>
        <v>32767</v>
      </c>
      <c r="G11" s="97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310"/>
    </row>
    <row r="12" spans="1:17" ht="15" customHeight="1">
      <c r="A12" s="316"/>
      <c r="B12" s="99" t="s">
        <v>26</v>
      </c>
      <c r="C12" s="100" t="s">
        <v>19</v>
      </c>
      <c r="D12" s="101"/>
      <c r="E12" s="102"/>
      <c r="F12" s="103"/>
      <c r="G12" s="102"/>
      <c r="H12" s="103"/>
      <c r="I12" s="103"/>
      <c r="J12" s="103"/>
      <c r="K12" s="103"/>
      <c r="L12" s="103"/>
      <c r="M12" s="103"/>
      <c r="N12" s="103"/>
      <c r="O12" s="310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196602</v>
      </c>
      <c r="G13" s="43"/>
      <c r="H13" s="43">
        <f>SUM(H5:H12)</f>
        <v>1723476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1920078</v>
      </c>
      <c r="O13" s="43"/>
    </row>
    <row r="14" spans="1:17" ht="15" customHeight="1">
      <c r="A14" s="311" t="s">
        <v>79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3">F14+H14+J14+L14</f>
        <v>592354.40000000014</v>
      </c>
      <c r="O14" s="310"/>
    </row>
    <row r="15" spans="1:17" ht="15" customHeight="1">
      <c r="A15" s="311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3"/>
        <v>208751.39999999997</v>
      </c>
      <c r="O15" s="310"/>
    </row>
    <row r="16" spans="1:17" ht="15" customHeight="1">
      <c r="A16" s="311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3"/>
        <v>151657</v>
      </c>
      <c r="O16" s="310"/>
    </row>
    <row r="17" spans="1:15" ht="15" customHeight="1">
      <c r="A17" s="312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3"/>
        <v>149872.79999999999</v>
      </c>
      <c r="O17" s="313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75</v>
      </c>
      <c r="B20" s="57" t="s">
        <v>74</v>
      </c>
      <c r="C20" s="57" t="s">
        <v>73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4">F20+H20+J20+L20</f>
        <v>16407.899999999998</v>
      </c>
      <c r="O20" s="19"/>
    </row>
    <row r="21" spans="1:15" ht="15" customHeight="1">
      <c r="A21" s="314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5">D21*G21</f>
        <v>152626</v>
      </c>
      <c r="I21" s="54"/>
      <c r="J21" s="54"/>
      <c r="K21" s="54"/>
      <c r="L21" s="54"/>
      <c r="M21" s="54"/>
      <c r="N21" s="54">
        <f t="shared" si="4"/>
        <v>152626</v>
      </c>
      <c r="O21" s="19"/>
    </row>
    <row r="22" spans="1:15" ht="15" customHeight="1">
      <c r="A22" s="314"/>
      <c r="B22" s="24" t="s">
        <v>35</v>
      </c>
      <c r="C22" s="25" t="s">
        <v>19</v>
      </c>
      <c r="D22" s="88">
        <v>17</v>
      </c>
      <c r="E22" s="54"/>
      <c r="F22" s="54">
        <f t="shared" ref="F22" si="6">D22*E22</f>
        <v>0</v>
      </c>
      <c r="G22" s="98">
        <v>5317</v>
      </c>
      <c r="H22" s="54">
        <f t="shared" si="5"/>
        <v>90389</v>
      </c>
      <c r="I22" s="54"/>
      <c r="J22" s="54"/>
      <c r="K22" s="54"/>
      <c r="L22" s="54"/>
      <c r="M22" s="54"/>
      <c r="N22" s="54">
        <f t="shared" si="4"/>
        <v>90389</v>
      </c>
      <c r="O22" s="19"/>
    </row>
    <row r="23" spans="1:15" ht="15" customHeight="1">
      <c r="A23" s="314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5"/>
        <v>98758</v>
      </c>
      <c r="I23" s="54"/>
      <c r="J23" s="54"/>
      <c r="K23" s="54"/>
      <c r="L23" s="54"/>
      <c r="M23" s="54"/>
      <c r="N23" s="54">
        <f t="shared" si="4"/>
        <v>98758</v>
      </c>
      <c r="O23" s="19"/>
    </row>
    <row r="24" spans="1:15" ht="15" customHeight="1">
      <c r="A24" s="314"/>
      <c r="B24" s="24" t="s">
        <v>35</v>
      </c>
      <c r="C24" s="25" t="s">
        <v>19</v>
      </c>
      <c r="D24" s="88">
        <v>11</v>
      </c>
      <c r="E24" s="54"/>
      <c r="F24" s="54">
        <f t="shared" ref="F24" si="7">D24*E24</f>
        <v>0</v>
      </c>
      <c r="G24" s="98">
        <v>5317</v>
      </c>
      <c r="H24" s="54">
        <f t="shared" si="5"/>
        <v>58487</v>
      </c>
      <c r="I24" s="54"/>
      <c r="J24" s="54"/>
      <c r="K24" s="54"/>
      <c r="L24" s="54"/>
      <c r="M24" s="54"/>
      <c r="N24" s="54">
        <f t="shared" si="4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87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8">SUM(J26:J26)</f>
        <v>0</v>
      </c>
      <c r="K27" s="22"/>
      <c r="L27" s="22">
        <f t="shared" si="8"/>
        <v>0</v>
      </c>
      <c r="M27" s="22"/>
      <c r="N27" s="22">
        <f t="shared" si="8"/>
        <v>411264</v>
      </c>
      <c r="O27" s="30"/>
    </row>
    <row r="28" spans="1:15" ht="15" customHeight="1">
      <c r="A28" s="35" t="s">
        <v>72</v>
      </c>
      <c r="B28" s="20"/>
      <c r="C28" s="21"/>
      <c r="D28" s="29"/>
      <c r="E28" s="31"/>
      <c r="F28" s="32">
        <f>F13+F18+F25+F27</f>
        <v>883848.9</v>
      </c>
      <c r="G28" s="32"/>
      <c r="H28" s="32">
        <f>H13+H18+H25+H27</f>
        <v>2966796.6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3850645.5</v>
      </c>
      <c r="O28" s="3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2" sqref="E22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88</v>
      </c>
      <c r="B1" s="44" t="s">
        <v>89</v>
      </c>
      <c r="C1" s="44" t="s">
        <v>90</v>
      </c>
      <c r="D1" s="44" t="s">
        <v>91</v>
      </c>
      <c r="E1" s="44" t="s">
        <v>92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11.265000000000001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M020809012520101</v>
      </c>
      <c r="B4" s="46">
        <f>'내역서(표준단가)'!B7</f>
        <v>0</v>
      </c>
      <c r="C4" s="46">
        <f>'내역서(표준단가)'!C7</f>
        <v>0</v>
      </c>
      <c r="D4" s="46" t="str">
        <f>'내역서(표준단가)'!D7</f>
        <v>M020809012520101</v>
      </c>
      <c r="E4" s="46">
        <f>'내역서(표준단가)'!E7</f>
        <v>0</v>
      </c>
      <c r="F4" s="47">
        <f>'내역서(표준단가)'!I7</f>
        <v>61.8</v>
      </c>
    </row>
    <row r="5" spans="1:6">
      <c r="A5" s="45" t="str">
        <f>'내역서(표준단가)'!A8</f>
        <v>E00000803071260401</v>
      </c>
      <c r="B5" s="46">
        <f>'내역서(표준단가)'!B8</f>
        <v>0</v>
      </c>
      <c r="C5" s="46" t="str">
        <f>'내역서(표준단가)'!C8</f>
        <v>E00000803071260401</v>
      </c>
      <c r="D5" s="46">
        <f>'내역서(표준단가)'!D8</f>
        <v>0</v>
      </c>
      <c r="E5" s="46">
        <f>'내역서(표준단가)'!E8</f>
        <v>0</v>
      </c>
      <c r="F5" s="47">
        <f>'내역서(표준단가)'!I8</f>
        <v>1.0132000000000001</v>
      </c>
    </row>
    <row r="6" spans="1:6">
      <c r="A6" s="45" t="str">
        <f>'내역서(표준단가)'!A9</f>
        <v>M020412614110102</v>
      </c>
      <c r="B6" s="46">
        <f>'내역서(표준단가)'!B9</f>
        <v>0</v>
      </c>
      <c r="C6" s="46">
        <f>'내역서(표준단가)'!C9</f>
        <v>0</v>
      </c>
      <c r="D6" s="46" t="str">
        <f>'내역서(표준단가)'!D9</f>
        <v>M020412614110102</v>
      </c>
      <c r="E6" s="46">
        <f>'내역서(표준단가)'!E9</f>
        <v>0</v>
      </c>
      <c r="F6" s="47">
        <f>'내역서(표준단가)'!I9</f>
        <v>0.3</v>
      </c>
    </row>
    <row r="7" spans="1:6">
      <c r="A7" s="45" t="str">
        <f>'내역서(표준단가)'!A10</f>
        <v>E00000803061120402</v>
      </c>
      <c r="B7" s="46">
        <f>'내역서(표준단가)'!B10</f>
        <v>0</v>
      </c>
      <c r="C7" s="46" t="str">
        <f>'내역서(표준단가)'!C10</f>
        <v>E00000803061120402</v>
      </c>
      <c r="D7" s="46">
        <f>'내역서(표준단가)'!D10</f>
        <v>0</v>
      </c>
      <c r="E7" s="46">
        <f>'내역서(표준단가)'!E10</f>
        <v>0</v>
      </c>
      <c r="F7" s="47">
        <f>'내역서(표준단가)'!I10</f>
        <v>28</v>
      </c>
    </row>
    <row r="8" spans="1:6">
      <c r="A8" s="45" t="str">
        <f>'내역서(표준단가)'!A11</f>
        <v>E00000803061300201</v>
      </c>
      <c r="B8" s="46">
        <f>'내역서(표준단가)'!B11</f>
        <v>0</v>
      </c>
      <c r="C8" s="46" t="str">
        <f>'내역서(표준단가)'!C11</f>
        <v>E00000803061300201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E00000801011510701</v>
      </c>
      <c r="B9" s="46">
        <f>'내역서(표준단가)'!B12</f>
        <v>0</v>
      </c>
      <c r="C9" s="46" t="str">
        <f>'내역서(표준단가)'!C12</f>
        <v>E00000801011510701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2026-07-21T04:36:01Z</dcterms:modified>
</cp:coreProperties>
</file>
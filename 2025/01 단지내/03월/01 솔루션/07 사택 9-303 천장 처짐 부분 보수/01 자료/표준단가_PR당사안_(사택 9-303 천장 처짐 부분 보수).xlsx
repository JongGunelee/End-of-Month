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124\04 PR당사안\"/>
    </mc:Choice>
  </mc:AlternateContent>
  <xr:revisionPtr revIDLastSave="0" documentId="13_ncr:1_{328EE10B-73FB-4A0F-916C-11350E286F11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J21" i="6"/>
  <c r="J19" i="6"/>
  <c r="J29" i="6"/>
  <c r="F3" i="1"/>
  <c r="E3" i="1"/>
  <c r="D3" i="1"/>
  <c r="C3" i="1"/>
  <c r="B3" i="1"/>
  <c r="J24" i="6" l="1"/>
  <c r="J23" i="6"/>
  <c r="J26" i="6"/>
  <c r="J25" i="6"/>
  <c r="J27" i="6" s="1"/>
  <c r="F2" i="1"/>
  <c r="E2" i="1"/>
  <c r="D2" i="1"/>
  <c r="C2" i="1"/>
  <c r="B2" i="1"/>
  <c r="A7" i="4" l="1"/>
  <c r="A6" i="4"/>
  <c r="A3" i="1" s="1"/>
  <c r="A5" i="4"/>
  <c r="U6" i="4" l="1"/>
  <c r="S6" i="4"/>
  <c r="Q6" i="4"/>
  <c r="O6" i="4"/>
  <c r="U5" i="4"/>
  <c r="S5" i="4"/>
  <c r="Q5" i="4"/>
  <c r="V6" i="4" l="1"/>
  <c r="V5" i="4"/>
  <c r="Q7" i="4" l="1"/>
  <c r="U8" i="4" l="1"/>
  <c r="S8" i="4"/>
  <c r="Q8" i="4"/>
  <c r="O8" i="4"/>
  <c r="A8" i="4"/>
  <c r="U7" i="4"/>
  <c r="S7" i="4"/>
  <c r="O7" i="4"/>
  <c r="V8" i="4" l="1"/>
  <c r="S9" i="4"/>
  <c r="Q9" i="4"/>
  <c r="V7" i="4"/>
  <c r="U9" i="4"/>
  <c r="V9" i="4" l="1"/>
  <c r="O9" i="4" l="1"/>
  <c r="J18" i="6" s="1"/>
  <c r="J22" i="6" l="1"/>
  <c r="J28" i="6" s="1"/>
  <c r="J20" i="6" s="1"/>
  <c r="J30" i="6" s="1"/>
  <c r="J31" i="6" l="1"/>
  <c r="M32" i="6" s="1"/>
  <c r="B1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<sst xmlns="http://schemas.openxmlformats.org/spreadsheetml/2006/main" count="126" uniqueCount="107">
  <si>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</si>
  <si>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</si>
  <si>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</si>
  <si>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</si>
  <si>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</si>
  <si>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</si>
  <si>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</si>
  <si>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8" type="noConversion"/>
  </si>
  <si>
    <t>단위</t>
  </si>
  <si>
    <t>L003</t>
  </si>
  <si>
    <t>▼낙찰율</t>
    <phoneticPr fontId="10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</si>
  <si>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</si>
  <si>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</si>
  <si>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</si>
  <si>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</si>
  <si>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</si>
  <si>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</si>
  <si>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</si>
  <si>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</si>
  <si>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</si>
  <si>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</si>
  <si>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</si>
  <si>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</si>
  <si>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</si>
  <si>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</si>
  <si>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</si>
  <si>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</si>
  <si>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</si>
  <si>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M024400903200101</t>
  </si>
  <si>
    <t>소송건조 각재</t>
  </si>
  <si>
    <t>3,600×30×30㎜</t>
  </si>
  <si>
    <t>재</t>
  </si>
  <si>
    <t>M011800900100101</t>
  </si>
  <si>
    <t>석고평보드</t>
  </si>
  <si>
    <t>9.5T× 900×1,800</t>
  </si>
  <si>
    <t>매</t>
  </si>
  <si>
    <t>시중노임단가</t>
    <phoneticPr fontId="0" type="Hiragana"/>
  </si>
  <si>
    <t>인</t>
    <phoneticPr fontId="0" type="Hiragana"/>
  </si>
  <si>
    <t>천장 석고보드 철거 및 붙임, 특별인부, 폐기물 포함</t>
    <phoneticPr fontId="0" type="Hiragana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</si>
  <si>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</si>
  <si>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</si>
  <si>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</si>
  <si>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</si>
  <si>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</si>
  <si>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</si>
  <si>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</si>
  <si>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</si>
  <si>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</si>
  <si>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</si>
  <si>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</si>
  <si>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</si>
  <si>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</si>
  <si>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</si>
  <si>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</si>
  <si>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</si>
  <si>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</si>
  <si>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</si>
  <si>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</si>
  <si>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</si>
  <si>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</si>
  <si>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</si>
  <si>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</si>
  <si>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</si>
  <si>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</si>
  <si>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</si>
  <si>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</si>
  <si>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</si>
  <si>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</si>
  <si>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</si>
  <si>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</si>
  <si>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</si>
  <si>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</si>
  <si>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</si>
  <si>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</si>
  <si>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</si>
  <si>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</si>
  <si>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</si>
  <si>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</si>
  <si>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</si>
  <si>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</si>
  <si>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</si>
  <si>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</si>
  <si>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</si>
  <si>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</si>
  <si>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</si>
  <si>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</si>
  <si>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</si>
  <si>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</si>
  <si>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</si>
  <si>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</si>
  <si>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</si>
  <si>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</si>
  <si>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</si>
  <si>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</si>
  <si>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</si>
  <si>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</si>
  <si>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</si>
  <si>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</si>
  <si>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</si>
  <si>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</si>
  <si>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</si>
  <si>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</si>
  <si>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</si>
  <si>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9-303 천장 처짐 부분 보수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</si>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</sst>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##,###,###,##0"/>
    <numFmt numFmtId="186" formatCode="&quot;공사명:&quot;\ @"/>
    <numFmt numFmtId="187" formatCode="0.000"/>
  </numFmts>
  <fonts count="4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0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7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7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0" fontId="22" fillId="0" borderId="0" xfId="0" applyFont="1">
      <alignment vertical="center"/>
    </xf>
    <xf numFmtId="180" fontId="19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25" fillId="6" borderId="7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49" fontId="25" fillId="7" borderId="2" xfId="0" applyNumberFormat="1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/>
    </xf>
    <xf numFmtId="49" fontId="25" fillId="5" borderId="2" xfId="0" applyNumberFormat="1" applyFont="1" applyFill="1" applyBorder="1" applyAlignment="1">
      <alignment horizontal="center" vertical="center" wrapText="1"/>
    </xf>
    <xf numFmtId="176" fontId="25" fillId="5" borderId="2" xfId="1" applyFont="1" applyFill="1" applyBorder="1" applyAlignment="1">
      <alignment horizontal="center" vertical="center"/>
    </xf>
    <xf numFmtId="176" fontId="25" fillId="6" borderId="2" xfId="1" applyFont="1" applyFill="1" applyBorder="1" applyAlignment="1">
      <alignment horizontal="center" vertical="center" wrapText="1"/>
    </xf>
    <xf numFmtId="185" fontId="25" fillId="5" borderId="2" xfId="0" applyNumberFormat="1" applyFont="1" applyFill="1" applyBorder="1" applyAlignment="1">
      <alignment horizontal="right" vertical="center" wrapText="1"/>
    </xf>
    <xf numFmtId="176" fontId="25" fillId="0" borderId="2" xfId="1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  <xf numFmtId="182" fontId="25" fillId="5" borderId="2" xfId="1" applyNumberFormat="1" applyFont="1" applyFill="1" applyBorder="1" applyAlignment="1">
      <alignment horizontal="center" vertical="center"/>
    </xf>
    <xf numFmtId="49" fontId="26" fillId="7" borderId="2" xfId="0" applyNumberFormat="1" applyFont="1" applyFill="1" applyBorder="1" applyAlignment="1">
      <alignment horizontal="center" vertical="center"/>
    </xf>
    <xf numFmtId="49" fontId="26" fillId="5" borderId="2" xfId="0" applyNumberFormat="1" applyFont="1" applyFill="1" applyBorder="1" applyAlignment="1">
      <alignment horizontal="center" vertical="center"/>
    </xf>
    <xf numFmtId="49" fontId="28" fillId="7" borderId="2" xfId="0" applyNumberFormat="1" applyFont="1" applyFill="1" applyBorder="1" applyAlignment="1">
      <alignment horizontal="center" vertical="center" wrapText="1"/>
    </xf>
    <xf numFmtId="49" fontId="28" fillId="5" borderId="2" xfId="0" applyNumberFormat="1" applyFont="1" applyFill="1" applyBorder="1" applyAlignment="1">
      <alignment horizontal="center" vertical="center" wrapText="1"/>
    </xf>
    <xf numFmtId="0" fontId="28" fillId="5" borderId="2" xfId="3" applyFont="1" applyFill="1" applyBorder="1" applyAlignment="1">
      <alignment horizontal="center" vertical="center" shrinkToFit="1"/>
    </xf>
    <xf numFmtId="0" fontId="25" fillId="0" borderId="2" xfId="0" applyFont="1" applyBorder="1">
      <alignment vertical="center"/>
    </xf>
    <xf numFmtId="183" fontId="25" fillId="5" borderId="2" xfId="0" applyNumberFormat="1" applyFont="1" applyFill="1" applyBorder="1" applyAlignment="1">
      <alignment horizontal="right" vertical="center" wrapText="1"/>
    </xf>
    <xf numFmtId="184" fontId="25" fillId="5" borderId="2" xfId="1" applyNumberFormat="1" applyFont="1" applyFill="1" applyBorder="1" applyAlignment="1">
      <alignment vertical="center" wrapText="1"/>
    </xf>
    <xf numFmtId="0" fontId="28" fillId="0" borderId="2" xfId="0" applyFont="1" applyBorder="1" applyAlignment="1">
      <alignment horizontal="center" vertical="center"/>
    </xf>
    <xf numFmtId="176" fontId="25" fillId="5" borderId="2" xfId="1" applyFont="1" applyFill="1" applyBorder="1" applyAlignment="1">
      <alignment horizontal="center" vertical="center" wrapText="1"/>
    </xf>
    <xf numFmtId="176" fontId="27" fillId="5" borderId="2" xfId="17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176" fontId="23" fillId="9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5" borderId="0" xfId="0" applyNumberFormat="1" applyFont="1" applyFill="1">
      <alignment vertical="center"/>
    </xf>
    <xf numFmtId="176" fontId="28" fillId="5" borderId="2" xfId="1" applyFont="1" applyFill="1" applyBorder="1" applyAlignment="1">
      <alignment horizontal="center" vertical="center" wrapText="1"/>
    </xf>
    <xf numFmtId="0" fontId="30" fillId="0" borderId="0" xfId="23" applyFont="1">
      <alignment vertical="center"/>
    </xf>
    <xf numFmtId="0" fontId="29" fillId="0" borderId="16" xfId="22" applyFont="1" applyBorder="1" applyAlignment="1">
      <alignment horizontal="center" vertical="center"/>
    </xf>
    <xf numFmtId="0" fontId="29" fillId="0" borderId="0" xfId="22" applyFont="1" applyAlignment="1">
      <alignment horizontal="center" vertical="center"/>
    </xf>
    <xf numFmtId="0" fontId="29" fillId="0" borderId="17" xfId="22" applyFont="1" applyBorder="1" applyAlignment="1">
      <alignment horizontal="center" vertical="center"/>
    </xf>
    <xf numFmtId="0" fontId="32" fillId="0" borderId="16" xfId="22" applyFont="1" applyBorder="1" applyAlignment="1">
      <alignment horizontal="left" vertical="center"/>
    </xf>
    <xf numFmtId="0" fontId="33" fillId="0" borderId="0" xfId="22" applyFont="1" applyAlignment="1">
      <alignment vertical="center"/>
    </xf>
    <xf numFmtId="0" fontId="33" fillId="0" borderId="0" xfId="22" applyFont="1" applyAlignment="1">
      <alignment horizontal="left" vertical="center" textRotation="1"/>
    </xf>
    <xf numFmtId="0" fontId="34" fillId="0" borderId="0" xfId="22" applyFont="1" applyAlignment="1">
      <alignment horizontal="centerContinuous" vertical="center"/>
    </xf>
    <xf numFmtId="0" fontId="34" fillId="0" borderId="17" xfId="22" applyFont="1" applyBorder="1" applyAlignment="1">
      <alignment vertical="center"/>
    </xf>
    <xf numFmtId="0" fontId="35" fillId="0" borderId="16" xfId="22" applyFont="1" applyBorder="1" applyAlignment="1">
      <alignment horizontal="left" vertical="center" indent="2"/>
    </xf>
    <xf numFmtId="0" fontId="30" fillId="0" borderId="18" xfId="22" applyFont="1" applyBorder="1" applyAlignment="1">
      <alignment vertical="center"/>
    </xf>
    <xf numFmtId="0" fontId="30" fillId="0" borderId="0" xfId="22" applyFont="1" applyAlignment="1">
      <alignment vertical="center"/>
    </xf>
    <xf numFmtId="0" fontId="34" fillId="0" borderId="17" xfId="22" applyFont="1" applyBorder="1" applyAlignment="1">
      <alignment horizontal="right" vertical="center"/>
    </xf>
    <xf numFmtId="0" fontId="35" fillId="0" borderId="16" xfId="22" applyFont="1" applyBorder="1" applyAlignment="1">
      <alignment vertical="center"/>
    </xf>
    <xf numFmtId="0" fontId="35" fillId="0" borderId="0" xfId="22" applyFont="1" applyAlignment="1">
      <alignment vertical="center"/>
    </xf>
    <xf numFmtId="0" fontId="34" fillId="0" borderId="0" xfId="22" applyFont="1" applyAlignment="1">
      <alignment horizontal="right" vertical="center"/>
    </xf>
    <xf numFmtId="0" fontId="35" fillId="0" borderId="17" xfId="22" applyFont="1" applyBorder="1" applyAlignment="1">
      <alignment vertical="center"/>
    </xf>
    <xf numFmtId="0" fontId="30" fillId="0" borderId="20" xfId="22" applyFont="1" applyBorder="1" applyAlignment="1">
      <alignment horizontal="center" vertical="center"/>
    </xf>
    <xf numFmtId="0" fontId="30" fillId="0" borderId="21" xfId="22" applyFont="1" applyBorder="1" applyAlignment="1">
      <alignment horizontal="center" vertical="center"/>
    </xf>
    <xf numFmtId="0" fontId="30" fillId="0" borderId="6" xfId="22" applyFont="1" applyBorder="1" applyAlignment="1">
      <alignment horizontal="center" vertical="center"/>
    </xf>
    <xf numFmtId="0" fontId="30" fillId="0" borderId="23" xfId="22" applyFont="1" applyBorder="1" applyAlignment="1">
      <alignment horizontal="center" vertical="center"/>
    </xf>
    <xf numFmtId="0" fontId="30" fillId="0" borderId="2" xfId="22" applyFont="1" applyBorder="1" applyAlignment="1">
      <alignment horizontal="center" vertical="center"/>
    </xf>
    <xf numFmtId="0" fontId="38" fillId="0" borderId="8" xfId="22" applyFont="1" applyBorder="1" applyAlignment="1">
      <alignment horizontal="center" vertical="center"/>
    </xf>
    <xf numFmtId="0" fontId="30" fillId="0" borderId="31" xfId="22" applyFont="1" applyBorder="1" applyAlignment="1">
      <alignment horizontal="center" vertical="center"/>
    </xf>
    <xf numFmtId="0" fontId="30" fillId="0" borderId="32" xfId="22" applyFont="1" applyBorder="1" applyAlignment="1">
      <alignment horizontal="center" vertical="center"/>
    </xf>
    <xf numFmtId="0" fontId="30" fillId="0" borderId="16" xfId="22" applyFont="1" applyBorder="1" applyAlignment="1">
      <alignment horizontal="center" vertical="center"/>
    </xf>
    <xf numFmtId="0" fontId="30" fillId="0" borderId="0" xfId="22" applyFont="1" applyAlignment="1">
      <alignment horizontal="center" vertical="center"/>
    </xf>
    <xf numFmtId="0" fontId="30" fillId="0" borderId="0" xfId="22" applyFont="1" applyAlignment="1">
      <alignment horizontal="left" vertical="center" indent="1"/>
    </xf>
    <xf numFmtId="0" fontId="34" fillId="0" borderId="0" xfId="22" applyFont="1" applyAlignment="1">
      <alignment vertical="center"/>
    </xf>
    <xf numFmtId="0" fontId="30" fillId="0" borderId="16" xfId="22" applyFont="1" applyBorder="1" applyAlignment="1">
      <alignment vertical="center"/>
    </xf>
    <xf numFmtId="0" fontId="30" fillId="0" borderId="17" xfId="22" applyFont="1" applyBorder="1" applyAlignment="1">
      <alignment vertical="center"/>
    </xf>
    <xf numFmtId="0" fontId="35" fillId="0" borderId="16" xfId="22" applyFont="1" applyBorder="1" applyAlignment="1">
      <alignment horizontal="left" vertical="center" indent="1"/>
    </xf>
    <xf numFmtId="0" fontId="40" fillId="0" borderId="0" xfId="22" applyFont="1" applyAlignment="1">
      <alignment vertical="center"/>
    </xf>
    <xf numFmtId="0" fontId="40" fillId="12" borderId="33" xfId="22" applyFont="1" applyFill="1" applyBorder="1" applyAlignment="1">
      <alignment horizontal="center" vertical="center"/>
    </xf>
    <xf numFmtId="0" fontId="40" fillId="12" borderId="34" xfId="22" applyFont="1" applyFill="1" applyBorder="1" applyAlignment="1">
      <alignment horizontal="center" vertical="center"/>
    </xf>
    <xf numFmtId="3" fontId="40" fillId="12" borderId="34" xfId="22" applyNumberFormat="1" applyFont="1" applyFill="1" applyBorder="1" applyAlignment="1">
      <alignment horizontal="center" vertical="center"/>
    </xf>
    <xf numFmtId="0" fontId="30" fillId="0" borderId="38" xfId="22" applyFont="1" applyBorder="1" applyAlignment="1">
      <alignment horizontal="center" vertical="center"/>
    </xf>
    <xf numFmtId="0" fontId="30" fillId="0" borderId="42" xfId="22" applyFont="1" applyBorder="1" applyAlignment="1">
      <alignment horizontal="center" vertical="center"/>
    </xf>
    <xf numFmtId="0" fontId="30" fillId="0" borderId="48" xfId="25" applyFont="1" applyBorder="1" applyAlignment="1">
      <alignment horizontal="center" vertical="center"/>
    </xf>
    <xf numFmtId="176" fontId="30" fillId="0" borderId="0" xfId="23" applyNumberFormat="1" applyFont="1">
      <alignment vertical="center"/>
    </xf>
    <xf numFmtId="0" fontId="30" fillId="0" borderId="52" xfId="25" applyFont="1" applyBorder="1" applyAlignment="1">
      <alignment horizontal="left" vertical="center" wrapText="1" indent="1"/>
    </xf>
    <xf numFmtId="0" fontId="34" fillId="0" borderId="57" xfId="25" applyFont="1" applyBorder="1" applyAlignment="1">
      <alignment horizontal="center" vertical="center"/>
    </xf>
    <xf numFmtId="187" fontId="34" fillId="0" borderId="57" xfId="25" applyNumberFormat="1" applyFont="1" applyBorder="1" applyAlignment="1">
      <alignment horizontal="center" vertical="center"/>
    </xf>
    <xf numFmtId="177" fontId="30" fillId="0" borderId="0" xfId="23" applyNumberFormat="1" applyFont="1">
      <alignment vertical="center"/>
    </xf>
    <xf numFmtId="2" fontId="34" fillId="0" borderId="59" xfId="25" applyNumberFormat="1" applyFont="1" applyBorder="1" applyAlignment="1">
      <alignment horizontal="center" vertical="center"/>
    </xf>
    <xf numFmtId="0" fontId="34" fillId="0" borderId="62" xfId="25" applyFont="1" applyBorder="1" applyAlignment="1">
      <alignment horizontal="center" vertical="center"/>
    </xf>
    <xf numFmtId="0" fontId="30" fillId="0" borderId="64" xfId="22" applyFont="1" applyBorder="1" applyAlignment="1">
      <alignment horizontal="center" vertical="center"/>
    </xf>
    <xf numFmtId="0" fontId="30" fillId="0" borderId="65" xfId="25" applyFont="1" applyBorder="1" applyAlignment="1">
      <alignment horizontal="left" vertical="center" wrapText="1" indent="1"/>
    </xf>
    <xf numFmtId="1" fontId="34" fillId="0" borderId="66" xfId="25" applyNumberFormat="1" applyFont="1" applyBorder="1" applyAlignment="1">
      <alignment horizontal="center" vertical="center"/>
    </xf>
    <xf numFmtId="0" fontId="34" fillId="0" borderId="66" xfId="25" applyFont="1" applyBorder="1" applyAlignment="1">
      <alignment horizontal="center" vertical="center"/>
    </xf>
    <xf numFmtId="0" fontId="34" fillId="0" borderId="70" xfId="25" applyFont="1" applyBorder="1" applyAlignment="1">
      <alignment horizontal="center" vertical="center"/>
    </xf>
    <xf numFmtId="176" fontId="30" fillId="0" borderId="0" xfId="26" applyFont="1">
      <alignment vertical="center"/>
    </xf>
    <xf numFmtId="176" fontId="44" fillId="13" borderId="35" xfId="22" applyNumberFormat="1" applyFont="1" applyFill="1" applyBorder="1" applyAlignment="1">
      <alignment horizontal="right" vertical="center"/>
    </xf>
    <xf numFmtId="0" fontId="44" fillId="13" borderId="35" xfId="22" applyFont="1" applyFill="1" applyBorder="1" applyAlignment="1">
      <alignment horizontal="right" vertical="center"/>
    </xf>
    <xf numFmtId="176" fontId="44" fillId="13" borderId="72" xfId="26" applyFont="1" applyFill="1" applyBorder="1" applyAlignment="1">
      <alignment horizontal="right" vertical="center"/>
    </xf>
    <xf numFmtId="179" fontId="30" fillId="0" borderId="0" xfId="28" applyFont="1" applyAlignment="1">
      <alignment vertical="center"/>
    </xf>
    <xf numFmtId="49" fontId="34" fillId="0" borderId="16" xfId="22" applyNumberFormat="1" applyFont="1" applyBorder="1" applyAlignment="1">
      <alignment horizontal="left" vertical="center" indent="1"/>
    </xf>
    <xf numFmtId="49" fontId="30" fillId="0" borderId="0" xfId="22" applyNumberFormat="1" applyFont="1" applyAlignment="1">
      <alignment vertical="center"/>
    </xf>
    <xf numFmtId="49" fontId="30" fillId="0" borderId="17" xfId="22" applyNumberFormat="1" applyFont="1" applyBorder="1" applyAlignment="1">
      <alignment vertical="center"/>
    </xf>
    <xf numFmtId="49" fontId="30" fillId="0" borderId="16" xfId="22" applyNumberFormat="1" applyFont="1" applyBorder="1" applyAlignment="1">
      <alignment vertical="center"/>
    </xf>
    <xf numFmtId="0" fontId="35" fillId="0" borderId="0" xfId="25" applyFont="1" applyAlignment="1">
      <alignment horizontal="left" vertical="center"/>
    </xf>
    <xf numFmtId="0" fontId="35" fillId="0" borderId="17" xfId="25" applyFont="1" applyBorder="1" applyAlignment="1">
      <alignment horizontal="left" vertical="center"/>
    </xf>
    <xf numFmtId="49" fontId="30" fillId="0" borderId="74" xfId="22" applyNumberFormat="1" applyFont="1" applyBorder="1" applyAlignment="1">
      <alignment vertical="center"/>
    </xf>
    <xf numFmtId="49" fontId="30" fillId="0" borderId="75" xfId="22" applyNumberFormat="1" applyFont="1" applyBorder="1" applyAlignment="1">
      <alignment vertical="center"/>
    </xf>
    <xf numFmtId="49" fontId="30" fillId="0" borderId="76" xfId="22" applyNumberFormat="1" applyFont="1" applyBorder="1" applyAlignment="1">
      <alignment vertical="center"/>
    </xf>
    <xf numFmtId="0" fontId="35" fillId="0" borderId="18" xfId="22" applyFont="1" applyFill="1" applyBorder="1" applyAlignment="1">
      <alignment vertical="center"/>
    </xf>
    <xf numFmtId="0" fontId="30" fillId="0" borderId="18" xfId="22" applyFont="1" applyFill="1" applyBorder="1" applyAlignment="1">
      <alignment vertical="center"/>
    </xf>
    <xf numFmtId="0" fontId="30" fillId="0" borderId="19" xfId="22" applyFont="1" applyFill="1" applyBorder="1" applyAlignment="1">
      <alignment horizontal="right" vertical="center"/>
    </xf>
    <xf numFmtId="0" fontId="30" fillId="0" borderId="20" xfId="22" applyFont="1" applyFill="1" applyBorder="1" applyAlignment="1">
      <alignment horizontal="center" vertical="center"/>
    </xf>
    <xf numFmtId="0" fontId="30" fillId="0" borderId="39" xfId="25" applyFont="1" applyFill="1" applyBorder="1" applyAlignment="1">
      <alignment horizontal="center" vertical="center"/>
    </xf>
    <xf numFmtId="0" fontId="30" fillId="0" borderId="41" xfId="25" applyFont="1" applyFill="1" applyBorder="1" applyAlignment="1">
      <alignment horizontal="center" vertical="center"/>
    </xf>
    <xf numFmtId="0" fontId="30" fillId="0" borderId="46" xfId="25" applyFont="1" applyFill="1" applyBorder="1" applyAlignment="1">
      <alignment horizontal="center" vertical="center"/>
    </xf>
    <xf numFmtId="0" fontId="34" fillId="0" borderId="53" xfId="25" applyFont="1" applyFill="1" applyBorder="1" applyAlignment="1">
      <alignment horizontal="center" vertical="center"/>
    </xf>
    <xf numFmtId="0" fontId="34" fillId="0" borderId="66" xfId="25" applyFont="1" applyBorder="1" applyAlignment="1">
      <alignment horizontal="left" vertical="center" wrapText="1" indent="1"/>
    </xf>
    <xf numFmtId="0" fontId="34" fillId="0" borderId="67" xfId="25" applyFont="1" applyBorder="1" applyAlignment="1">
      <alignment horizontal="left" vertical="center" wrapText="1" indent="1"/>
    </xf>
    <xf numFmtId="0" fontId="34" fillId="0" borderId="68" xfId="25" applyFont="1" applyBorder="1" applyAlignment="1">
      <alignment horizontal="left" vertical="center" wrapText="1" indent="1"/>
    </xf>
    <xf numFmtId="176" fontId="30" fillId="0" borderId="66" xfId="26" applyFont="1" applyFill="1" applyBorder="1" applyAlignment="1">
      <alignment horizontal="right" vertical="center"/>
    </xf>
    <xf numFmtId="176" fontId="30" fillId="0" borderId="67" xfId="26" applyFont="1" applyFill="1" applyBorder="1" applyAlignment="1">
      <alignment horizontal="right" vertical="center"/>
    </xf>
    <xf numFmtId="176" fontId="30" fillId="0" borderId="68" xfId="26" applyFont="1" applyFill="1" applyBorder="1" applyAlignment="1">
      <alignment horizontal="right" vertical="center"/>
    </xf>
    <xf numFmtId="176" fontId="30" fillId="0" borderId="66" xfId="27" applyFont="1" applyFill="1" applyBorder="1" applyAlignment="1">
      <alignment horizontal="left" vertical="center"/>
    </xf>
    <xf numFmtId="176" fontId="30" fillId="0" borderId="69" xfId="27" applyFont="1" applyFill="1" applyBorder="1" applyAlignment="1">
      <alignment horizontal="left" vertical="center"/>
    </xf>
    <xf numFmtId="0" fontId="44" fillId="13" borderId="71" xfId="22" applyFont="1" applyFill="1" applyBorder="1" applyAlignment="1">
      <alignment horizontal="center" vertical="center"/>
    </xf>
    <xf numFmtId="0" fontId="44" fillId="13" borderId="35" xfId="22" applyFont="1" applyFill="1" applyBorder="1" applyAlignment="1">
      <alignment horizontal="center" vertical="center"/>
    </xf>
    <xf numFmtId="0" fontId="44" fillId="13" borderId="72" xfId="22" applyFont="1" applyFill="1" applyBorder="1" applyAlignment="1">
      <alignment horizontal="center" vertical="center"/>
    </xf>
    <xf numFmtId="9" fontId="44" fillId="13" borderId="73" xfId="2" applyFont="1" applyFill="1" applyBorder="1" applyAlignment="1">
      <alignment horizontal="center" vertical="center"/>
    </xf>
    <xf numFmtId="9" fontId="44" fillId="13" borderId="37" xfId="2" applyFont="1" applyFill="1" applyBorder="1" applyAlignment="1">
      <alignment horizontal="center" vertical="center"/>
    </xf>
    <xf numFmtId="176" fontId="30" fillId="0" borderId="48" xfId="26" applyFont="1" applyFill="1" applyBorder="1" applyAlignment="1">
      <alignment horizontal="right" vertical="center"/>
    </xf>
    <xf numFmtId="176" fontId="30" fillId="0" borderId="49" xfId="26" applyFont="1" applyFill="1" applyBorder="1" applyAlignment="1">
      <alignment horizontal="right" vertical="center"/>
    </xf>
    <xf numFmtId="176" fontId="30" fillId="0" borderId="50" xfId="26" applyFont="1" applyFill="1" applyBorder="1" applyAlignment="1">
      <alignment horizontal="right" vertical="center"/>
    </xf>
    <xf numFmtId="176" fontId="30" fillId="0" borderId="48" xfId="27" applyFont="1" applyFill="1" applyBorder="1" applyAlignment="1">
      <alignment horizontal="left" vertical="center"/>
    </xf>
    <xf numFmtId="176" fontId="30" fillId="0" borderId="51" xfId="27" applyFont="1" applyFill="1" applyBorder="1" applyAlignment="1">
      <alignment horizontal="left" vertical="center"/>
    </xf>
    <xf numFmtId="176" fontId="30" fillId="0" borderId="66" xfId="26" applyFont="1" applyBorder="1" applyAlignment="1">
      <alignment horizontal="right" vertical="center"/>
    </xf>
    <xf numFmtId="176" fontId="30" fillId="0" borderId="67" xfId="26" applyFont="1" applyBorder="1" applyAlignment="1">
      <alignment horizontal="right" vertical="center"/>
    </xf>
    <xf numFmtId="176" fontId="30" fillId="0" borderId="68" xfId="26" applyFont="1" applyBorder="1" applyAlignment="1">
      <alignment horizontal="right" vertical="center"/>
    </xf>
    <xf numFmtId="176" fontId="43" fillId="0" borderId="66" xfId="27" applyFont="1" applyBorder="1" applyAlignment="1">
      <alignment horizontal="left" vertical="center"/>
    </xf>
    <xf numFmtId="176" fontId="43" fillId="0" borderId="69" xfId="27" applyFont="1" applyBorder="1" applyAlignment="1">
      <alignment horizontal="left" vertical="center"/>
    </xf>
    <xf numFmtId="0" fontId="34" fillId="0" borderId="59" xfId="25" applyFont="1" applyBorder="1" applyAlignment="1">
      <alignment horizontal="left" vertical="center" wrapText="1" indent="1"/>
    </xf>
    <xf numFmtId="0" fontId="34" fillId="0" borderId="60" xfId="25" applyFont="1" applyBorder="1" applyAlignment="1">
      <alignment horizontal="left" vertical="center" wrapText="1" indent="1"/>
    </xf>
    <xf numFmtId="0" fontId="34" fillId="0" borderId="61" xfId="25" applyFont="1" applyBorder="1" applyAlignment="1">
      <alignment horizontal="left" vertical="center" wrapText="1" indent="1"/>
    </xf>
    <xf numFmtId="176" fontId="30" fillId="0" borderId="59" xfId="26" applyFont="1" applyFill="1" applyBorder="1" applyAlignment="1">
      <alignment horizontal="right" vertical="center"/>
    </xf>
    <xf numFmtId="176" fontId="30" fillId="0" borderId="60" xfId="26" applyFont="1" applyFill="1" applyBorder="1" applyAlignment="1">
      <alignment horizontal="right" vertical="center"/>
    </xf>
    <xf numFmtId="176" fontId="30" fillId="0" borderId="61" xfId="26" applyFont="1" applyFill="1" applyBorder="1" applyAlignment="1">
      <alignment horizontal="right" vertical="center"/>
    </xf>
    <xf numFmtId="176" fontId="30" fillId="0" borderId="57" xfId="27" applyFont="1" applyFill="1" applyBorder="1" applyAlignment="1">
      <alignment horizontal="left" vertical="center"/>
    </xf>
    <xf numFmtId="176" fontId="30" fillId="0" borderId="25" xfId="27" applyFont="1" applyFill="1" applyBorder="1" applyAlignment="1">
      <alignment horizontal="left" vertical="center"/>
    </xf>
    <xf numFmtId="176" fontId="30" fillId="0" borderId="59" xfId="27" applyFont="1" applyFill="1" applyBorder="1" applyAlignment="1">
      <alignment horizontal="left" vertical="center"/>
    </xf>
    <xf numFmtId="176" fontId="30" fillId="0" borderId="63" xfId="27" applyFont="1" applyFill="1" applyBorder="1" applyAlignment="1">
      <alignment horizontal="left" vertical="center"/>
    </xf>
    <xf numFmtId="0" fontId="34" fillId="0" borderId="57" xfId="25" applyFont="1" applyBorder="1" applyAlignment="1">
      <alignment horizontal="left" vertical="center" wrapText="1" indent="1"/>
    </xf>
    <xf numFmtId="0" fontId="34" fillId="0" borderId="4" xfId="25" applyFont="1" applyBorder="1" applyAlignment="1">
      <alignment horizontal="left" vertical="center" wrapText="1" indent="1"/>
    </xf>
    <xf numFmtId="0" fontId="34" fillId="0" borderId="58" xfId="25" applyFont="1" applyBorder="1" applyAlignment="1">
      <alignment horizontal="left" vertical="center" wrapText="1" indent="1"/>
    </xf>
    <xf numFmtId="176" fontId="30" fillId="0" borderId="57" xfId="26" applyFont="1" applyFill="1" applyBorder="1" applyAlignment="1">
      <alignment horizontal="right" vertical="center"/>
    </xf>
    <xf numFmtId="176" fontId="30" fillId="0" borderId="4" xfId="26" applyFont="1" applyFill="1" applyBorder="1" applyAlignment="1">
      <alignment horizontal="right" vertical="center"/>
    </xf>
    <xf numFmtId="176" fontId="30" fillId="0" borderId="58" xfId="26" applyFont="1" applyFill="1" applyBorder="1" applyAlignment="1">
      <alignment horizontal="right" vertical="center"/>
    </xf>
    <xf numFmtId="0" fontId="34" fillId="0" borderId="53" xfId="25" applyFont="1" applyFill="1" applyBorder="1" applyAlignment="1">
      <alignment horizontal="left" vertical="center" wrapText="1" indent="1"/>
    </xf>
    <xf numFmtId="0" fontId="34" fillId="0" borderId="54" xfId="25" applyFont="1" applyFill="1" applyBorder="1" applyAlignment="1">
      <alignment horizontal="left" vertical="center" wrapText="1" indent="1"/>
    </xf>
    <xf numFmtId="0" fontId="34" fillId="0" borderId="55" xfId="25" applyFont="1" applyFill="1" applyBorder="1" applyAlignment="1">
      <alignment horizontal="left" vertical="center" wrapText="1" indent="1"/>
    </xf>
    <xf numFmtId="176" fontId="30" fillId="0" borderId="53" xfId="26" applyFont="1" applyFill="1" applyBorder="1" applyAlignment="1">
      <alignment horizontal="right" vertical="center"/>
    </xf>
    <xf numFmtId="176" fontId="30" fillId="0" borderId="54" xfId="26" applyFont="1" applyFill="1" applyBorder="1" applyAlignment="1">
      <alignment horizontal="right" vertical="center"/>
    </xf>
    <xf numFmtId="176" fontId="30" fillId="0" borderId="55" xfId="26" applyFont="1" applyFill="1" applyBorder="1" applyAlignment="1">
      <alignment horizontal="right" vertical="center"/>
    </xf>
    <xf numFmtId="176" fontId="30" fillId="0" borderId="53" xfId="27" applyFont="1" applyBorder="1" applyAlignment="1">
      <alignment horizontal="left" vertical="center"/>
    </xf>
    <xf numFmtId="176" fontId="30" fillId="0" borderId="56" xfId="27" applyFont="1" applyBorder="1" applyAlignment="1">
      <alignment horizontal="left" vertical="center"/>
    </xf>
    <xf numFmtId="0" fontId="30" fillId="0" borderId="43" xfId="25" applyFont="1" applyFill="1" applyBorder="1" applyAlignment="1">
      <alignment horizontal="center" vertical="center" wrapText="1"/>
    </xf>
    <xf numFmtId="0" fontId="30" fillId="0" borderId="44" xfId="25" applyFont="1" applyFill="1" applyBorder="1" applyAlignment="1">
      <alignment horizontal="center" vertical="center" wrapText="1"/>
    </xf>
    <xf numFmtId="0" fontId="30" fillId="0" borderId="45" xfId="25" applyFont="1" applyFill="1" applyBorder="1" applyAlignment="1">
      <alignment horizontal="center" vertical="center" wrapText="1"/>
    </xf>
    <xf numFmtId="176" fontId="30" fillId="0" borderId="43" xfId="26" applyFont="1" applyFill="1" applyBorder="1" applyAlignment="1">
      <alignment horizontal="right" vertical="center"/>
    </xf>
    <xf numFmtId="176" fontId="30" fillId="0" borderId="44" xfId="26" applyFont="1" applyFill="1" applyBorder="1" applyAlignment="1">
      <alignment horizontal="right" vertical="center"/>
    </xf>
    <xf numFmtId="176" fontId="30" fillId="0" borderId="45" xfId="26" applyFont="1" applyFill="1" applyBorder="1" applyAlignment="1">
      <alignment horizontal="right" vertical="center"/>
    </xf>
    <xf numFmtId="176" fontId="30" fillId="0" borderId="43" xfId="27" applyFont="1" applyBorder="1" applyAlignment="1">
      <alignment horizontal="left" vertical="center"/>
    </xf>
    <xf numFmtId="176" fontId="30" fillId="0" borderId="47" xfId="27" applyFont="1" applyBorder="1" applyAlignment="1">
      <alignment horizontal="left" vertical="center"/>
    </xf>
    <xf numFmtId="0" fontId="30" fillId="0" borderId="43" xfId="25" applyFont="1" applyBorder="1" applyAlignment="1">
      <alignment horizontal="center" vertical="center" wrapText="1"/>
    </xf>
    <xf numFmtId="0" fontId="30" fillId="0" borderId="44" xfId="25" applyFont="1" applyBorder="1" applyAlignment="1">
      <alignment horizontal="center" vertical="center" wrapText="1"/>
    </xf>
    <xf numFmtId="0" fontId="30" fillId="0" borderId="45" xfId="25" applyFont="1" applyBorder="1" applyAlignment="1">
      <alignment horizontal="center" vertical="center" wrapText="1"/>
    </xf>
    <xf numFmtId="176" fontId="30" fillId="0" borderId="48" xfId="26" applyFont="1" applyBorder="1" applyAlignment="1">
      <alignment horizontal="center" vertical="center"/>
    </xf>
    <xf numFmtId="176" fontId="30" fillId="0" borderId="49" xfId="26" applyFont="1" applyBorder="1" applyAlignment="1">
      <alignment horizontal="center" vertical="center"/>
    </xf>
    <xf numFmtId="176" fontId="30" fillId="0" borderId="50" xfId="26" applyFont="1" applyBorder="1" applyAlignment="1">
      <alignment horizontal="center" vertical="center"/>
    </xf>
    <xf numFmtId="176" fontId="30" fillId="0" borderId="48" xfId="27" applyFont="1" applyBorder="1" applyAlignment="1">
      <alignment horizontal="left" vertical="center"/>
    </xf>
    <xf numFmtId="176" fontId="30" fillId="0" borderId="51" xfId="27" applyFont="1" applyBorder="1" applyAlignment="1">
      <alignment horizontal="left" vertical="center"/>
    </xf>
    <xf numFmtId="0" fontId="41" fillId="11" borderId="0" xfId="24" applyFont="1" applyFill="1" applyAlignment="1">
      <alignment horizontal="left" vertical="center"/>
    </xf>
    <xf numFmtId="0" fontId="41" fillId="11" borderId="17" xfId="24" applyFont="1" applyFill="1" applyBorder="1" applyAlignment="1">
      <alignment horizontal="left" vertical="center"/>
    </xf>
    <xf numFmtId="0" fontId="30" fillId="0" borderId="0" xfId="22" applyFont="1" applyAlignment="1">
      <alignment horizontal="right" vertical="center"/>
    </xf>
    <xf numFmtId="0" fontId="30" fillId="0" borderId="17" xfId="22" applyFont="1" applyBorder="1" applyAlignment="1">
      <alignment horizontal="right" vertical="center"/>
    </xf>
    <xf numFmtId="0" fontId="30" fillId="0" borderId="39" xfId="25" applyFont="1" applyFill="1" applyBorder="1" applyAlignment="1">
      <alignment horizontal="center" vertical="center" wrapText="1"/>
    </xf>
    <xf numFmtId="0" fontId="30" fillId="0" borderId="20" xfId="25" applyFont="1" applyFill="1" applyBorder="1" applyAlignment="1">
      <alignment horizontal="center" vertical="center" wrapText="1"/>
    </xf>
    <xf numFmtId="0" fontId="30" fillId="0" borderId="40" xfId="25" applyFont="1" applyFill="1" applyBorder="1" applyAlignment="1">
      <alignment horizontal="center" vertical="center" wrapText="1"/>
    </xf>
    <xf numFmtId="176" fontId="30" fillId="0" borderId="41" xfId="26" applyFont="1" applyFill="1" applyBorder="1" applyAlignment="1">
      <alignment horizontal="right" vertical="center"/>
    </xf>
    <xf numFmtId="176" fontId="30" fillId="0" borderId="39" xfId="25" applyNumberFormat="1" applyFont="1" applyBorder="1" applyAlignment="1">
      <alignment horizontal="left" vertical="center"/>
    </xf>
    <xf numFmtId="176" fontId="30" fillId="0" borderId="21" xfId="25" applyNumberFormat="1" applyFont="1" applyBorder="1" applyAlignment="1">
      <alignment horizontal="left" vertical="center"/>
    </xf>
    <xf numFmtId="0" fontId="40" fillId="12" borderId="34" xfId="22" applyFont="1" applyFill="1" applyBorder="1" applyAlignment="1">
      <alignment horizontal="center" vertical="center"/>
    </xf>
    <xf numFmtId="0" fontId="40" fillId="12" borderId="35" xfId="22" applyFont="1" applyFill="1" applyBorder="1" applyAlignment="1">
      <alignment horizontal="center" vertical="center"/>
    </xf>
    <xf numFmtId="0" fontId="40" fillId="12" borderId="36" xfId="22" applyFont="1" applyFill="1" applyBorder="1" applyAlignment="1">
      <alignment horizontal="center" vertical="center"/>
    </xf>
    <xf numFmtId="3" fontId="40" fillId="12" borderId="34" xfId="22" applyNumberFormat="1" applyFont="1" applyFill="1" applyBorder="1" applyAlignment="1">
      <alignment horizontal="center" vertical="center"/>
    </xf>
    <xf numFmtId="3" fontId="40" fillId="12" borderId="35" xfId="22" applyNumberFormat="1" applyFont="1" applyFill="1" applyBorder="1" applyAlignment="1">
      <alignment horizontal="center" vertical="center"/>
    </xf>
    <xf numFmtId="3" fontId="40" fillId="12" borderId="36" xfId="22" applyNumberFormat="1" applyFont="1" applyFill="1" applyBorder="1" applyAlignment="1">
      <alignment horizontal="center" vertical="center"/>
    </xf>
    <xf numFmtId="0" fontId="40" fillId="12" borderId="37" xfId="22" applyFont="1" applyFill="1" applyBorder="1" applyAlignment="1">
      <alignment horizontal="center" vertical="center"/>
    </xf>
    <xf numFmtId="186" fontId="39" fillId="11" borderId="0" xfId="22" applyNumberFormat="1" applyFont="1" applyFill="1" applyAlignment="1">
      <alignment horizontal="left" vertical="center"/>
    </xf>
    <xf numFmtId="0" fontId="29" fillId="0" borderId="13" xfId="22" applyFont="1" applyBorder="1" applyAlignment="1">
      <alignment horizontal="center" vertical="center"/>
    </xf>
    <xf numFmtId="0" fontId="29" fillId="0" borderId="14" xfId="22" applyFont="1" applyBorder="1" applyAlignment="1">
      <alignment horizontal="center" vertical="center"/>
    </xf>
    <xf numFmtId="0" fontId="29" fillId="0" borderId="15" xfId="22" applyFont="1" applyBorder="1" applyAlignment="1">
      <alignment horizontal="center" vertical="center"/>
    </xf>
    <xf numFmtId="0" fontId="31" fillId="0" borderId="16" xfId="22" applyFont="1" applyBorder="1" applyAlignment="1" applyProtection="1">
      <alignment horizontal="center" vertical="center"/>
      <protection locked="0"/>
    </xf>
    <xf numFmtId="0" fontId="31" fillId="0" borderId="0" xfId="22" applyFont="1" applyAlignment="1" applyProtection="1">
      <alignment horizontal="center" vertical="center"/>
      <protection locked="0"/>
    </xf>
    <xf numFmtId="0" fontId="31" fillId="0" borderId="17" xfId="22" applyFont="1" applyBorder="1" applyAlignment="1" applyProtection="1">
      <alignment horizontal="center" vertical="center"/>
      <protection locked="0"/>
    </xf>
    <xf numFmtId="0" fontId="30" fillId="10" borderId="19" xfId="22" applyFont="1" applyFill="1" applyBorder="1" applyAlignment="1">
      <alignment horizontal="center" vertical="center"/>
    </xf>
    <xf numFmtId="0" fontId="30" fillId="10" borderId="20" xfId="22" applyFont="1" applyFill="1" applyBorder="1" applyAlignment="1">
      <alignment horizontal="center" vertical="center"/>
    </xf>
    <xf numFmtId="0" fontId="30" fillId="10" borderId="21" xfId="22" applyFont="1" applyFill="1" applyBorder="1" applyAlignment="1">
      <alignment horizontal="center" vertical="center"/>
    </xf>
    <xf numFmtId="0" fontId="30" fillId="0" borderId="22" xfId="22" applyFont="1" applyBorder="1" applyAlignment="1">
      <alignment horizontal="center" vertical="center" wrapText="1"/>
    </xf>
    <xf numFmtId="0" fontId="30" fillId="0" borderId="26" xfId="22" applyFont="1" applyBorder="1" applyAlignment="1">
      <alignment horizontal="center" vertical="center"/>
    </xf>
    <xf numFmtId="0" fontId="30" fillId="0" borderId="30" xfId="22" applyFont="1" applyBorder="1" applyAlignment="1">
      <alignment horizontal="center" vertical="center"/>
    </xf>
    <xf numFmtId="0" fontId="30" fillId="0" borderId="24" xfId="22" applyFont="1" applyBorder="1" applyAlignment="1">
      <alignment horizontal="center" vertical="center"/>
    </xf>
    <xf numFmtId="0" fontId="30" fillId="0" borderId="4" xfId="22" applyFont="1" applyBorder="1" applyAlignment="1">
      <alignment horizontal="center" vertical="center"/>
    </xf>
    <xf numFmtId="0" fontId="30" fillId="0" borderId="25" xfId="22" applyFont="1" applyBorder="1" applyAlignment="1">
      <alignment horizontal="center" vertical="center"/>
    </xf>
    <xf numFmtId="0" fontId="37" fillId="0" borderId="24" xfId="22" applyFont="1" applyBorder="1" applyAlignment="1">
      <alignment horizontal="center" vertical="center"/>
    </xf>
    <xf numFmtId="0" fontId="35" fillId="0" borderId="4" xfId="22" applyFont="1" applyBorder="1" applyAlignment="1">
      <alignment horizontal="center" vertical="center"/>
    </xf>
    <xf numFmtId="0" fontId="35" fillId="0" borderId="5" xfId="22" applyFont="1" applyBorder="1" applyAlignment="1">
      <alignment horizontal="center" vertical="center"/>
    </xf>
    <xf numFmtId="0" fontId="37" fillId="0" borderId="3" xfId="22" applyFont="1" applyBorder="1" applyAlignment="1">
      <alignment horizontal="center" vertical="center"/>
    </xf>
    <xf numFmtId="0" fontId="35" fillId="0" borderId="25" xfId="22" applyFont="1" applyBorder="1" applyAlignment="1">
      <alignment horizontal="center" vertical="center"/>
    </xf>
    <xf numFmtId="0" fontId="30" fillId="0" borderId="24" xfId="22" applyFont="1" applyBorder="1" applyAlignment="1">
      <alignment horizontal="left" vertical="center" indent="1"/>
    </xf>
    <xf numFmtId="0" fontId="30" fillId="0" borderId="4" xfId="22" applyFont="1" applyBorder="1" applyAlignment="1">
      <alignment horizontal="left" vertical="center" indent="1"/>
    </xf>
    <xf numFmtId="0" fontId="30" fillId="0" borderId="25" xfId="22" applyFont="1" applyBorder="1" applyAlignment="1">
      <alignment horizontal="left" vertical="center" indent="1"/>
    </xf>
    <xf numFmtId="0" fontId="30" fillId="0" borderId="3" xfId="22" applyFont="1" applyBorder="1" applyAlignment="1">
      <alignment horizontal="center" vertical="center"/>
    </xf>
    <xf numFmtId="0" fontId="30" fillId="0" borderId="27" xfId="22" applyFont="1" applyBorder="1" applyAlignment="1">
      <alignment horizontal="center" vertical="center"/>
    </xf>
    <xf numFmtId="0" fontId="30" fillId="0" borderId="28" xfId="22" applyFont="1" applyBorder="1" applyAlignment="1">
      <alignment horizontal="center" vertical="center"/>
    </xf>
    <xf numFmtId="0" fontId="30" fillId="0" borderId="29" xfId="22" applyFont="1" applyBorder="1" applyAlignment="1">
      <alignment horizontal="center" vertical="center"/>
    </xf>
    <xf numFmtId="0" fontId="30" fillId="0" borderId="27" xfId="22" applyFont="1" applyBorder="1" applyAlignment="1">
      <alignment horizontal="left" vertical="center" indent="1"/>
    </xf>
    <xf numFmtId="0" fontId="30" fillId="0" borderId="28" xfId="22" applyFont="1" applyBorder="1" applyAlignment="1">
      <alignment horizontal="left" vertical="center" indent="1"/>
    </xf>
    <xf numFmtId="0" fontId="30" fillId="0" borderId="29" xfId="22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</cellXfs>
  <cellStyles count="30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7" xr:uid="{CE4EB99E-9362-440B-AC34-160D3BE24373}"/>
    <cellStyle name="쉼표 [0] 2 4" xfId="17" xr:uid="{CC7F0B14-C18D-465E-86F8-AD28630E884D}"/>
    <cellStyle name="쉼표 [0] 2 4 3" xfId="21" xr:uid="{395AE253-6731-4C89-8E9B-B3FEC0F1AD60}"/>
    <cellStyle name="쉼표 [0] 2 84" xfId="29" xr:uid="{49449E42-4DBD-4CAC-A8FD-66C74C7F8814}"/>
    <cellStyle name="쉼표 [0] 3" xfId="14" xr:uid="{8F7BE219-40E1-4BBB-A9BD-02188B74B2A3}"/>
    <cellStyle name="쉼표 [0] 4" xfId="19" xr:uid="{518BABB9-38E0-4542-9E84-19930CA45885}"/>
    <cellStyle name="쉼표 [0] 5" xfId="26" xr:uid="{E22E70E5-26F0-40E8-8199-65050F478A46}"/>
    <cellStyle name="쉼표 [0] 5 2" xfId="28" xr:uid="{AFB3C170-0EBC-4F5A-9D3D-CDC58D3B170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3" xr:uid="{E843588B-D295-4930-BE00-4D2A4E8E7D8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" xfId="18" xr:uid="{FC79FFF9-6B25-4386-8F44-FA5B7190AA14}"/>
    <cellStyle name="표준 7 4" xfId="20" xr:uid="{DC7E81AD-9BA4-4C2A-A805-C79CE7285DFD}"/>
    <cellStyle name="표준_p1공장 외벽청소(08.03.17)" xfId="24" xr:uid="{3478F9C2-7585-4A35-A2B3-E0A0680FBD85}"/>
    <cellStyle name="표준_P456 공장 및 복지동 전면 유리창 청소건 라상혁님_1129(최종)" xfId="25" xr:uid="{E7F36674-8832-41FF-A05A-C2C84B313F08}"/>
    <cellStyle name="표준_S&amp;D_MAIN VALVE_최빈_2" xfId="22" xr:uid="{E0E1E792-3718-444E-AA6F-A01E5C67B1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2B814A-59ED-44A4-BBB4-8CE92EC899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6958-16C3-4B9D-A1D2-55EAE791DC75}">
  <sheetPr>
    <tabColor rgb="FFFFFF00"/>
  </sheetPr>
  <dimension ref="A1:Q43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 x14ac:dyDescent="0.3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 x14ac:dyDescent="0.3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ht="9.75" customHeight="1" x14ac:dyDescent="0.3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 x14ac:dyDescent="0.3">
      <c r="A3" s="209" t="s">
        <v>39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/>
    </row>
    <row r="4" spans="1:15" ht="16.5" customHeight="1" x14ac:dyDescent="0.3">
      <c r="A4" s="56" t="s">
        <v>40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 x14ac:dyDescent="0.3">
      <c r="A5" s="61"/>
      <c r="B5" s="117" t="s">
        <v>104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 x14ac:dyDescent="0.3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 x14ac:dyDescent="0.3">
      <c r="A7" s="212" t="s">
        <v>41</v>
      </c>
      <c r="B7" s="213"/>
      <c r="C7" s="214"/>
      <c r="D7" s="119">
        <v>2025</v>
      </c>
      <c r="E7" s="69" t="s">
        <v>42</v>
      </c>
      <c r="F7" s="120">
        <v>1</v>
      </c>
      <c r="G7" s="69" t="s">
        <v>43</v>
      </c>
      <c r="H7" s="120">
        <v>24</v>
      </c>
      <c r="I7" s="69" t="s">
        <v>44</v>
      </c>
      <c r="J7" s="70"/>
      <c r="K7" s="215" t="s">
        <v>45</v>
      </c>
      <c r="L7" s="71" t="s">
        <v>46</v>
      </c>
      <c r="M7" s="71" t="s">
        <v>47</v>
      </c>
      <c r="N7" s="71" t="s">
        <v>48</v>
      </c>
      <c r="O7" s="72" t="s">
        <v>49</v>
      </c>
    </row>
    <row r="8" spans="1:15" ht="23.25" customHeight="1" x14ac:dyDescent="0.3">
      <c r="A8" s="218" t="s">
        <v>50</v>
      </c>
      <c r="B8" s="219"/>
      <c r="C8" s="220"/>
      <c r="D8" s="221" t="s">
        <v>51</v>
      </c>
      <c r="E8" s="222"/>
      <c r="F8" s="222"/>
      <c r="G8" s="223"/>
      <c r="H8" s="224" t="s">
        <v>52</v>
      </c>
      <c r="I8" s="222"/>
      <c r="J8" s="225"/>
      <c r="K8" s="216"/>
      <c r="L8" s="73" t="s">
        <v>53</v>
      </c>
      <c r="M8" s="73" t="s">
        <v>54</v>
      </c>
      <c r="N8" s="73" t="s">
        <v>55</v>
      </c>
      <c r="O8" s="74" t="s">
        <v>56</v>
      </c>
    </row>
    <row r="9" spans="1:15" ht="23.25" customHeight="1" x14ac:dyDescent="0.3">
      <c r="A9" s="218" t="s">
        <v>57</v>
      </c>
      <c r="B9" s="219"/>
      <c r="C9" s="220"/>
      <c r="D9" s="226" t="s">
        <v>58</v>
      </c>
      <c r="E9" s="227"/>
      <c r="F9" s="227"/>
      <c r="G9" s="227"/>
      <c r="H9" s="227"/>
      <c r="I9" s="227"/>
      <c r="J9" s="228"/>
      <c r="K9" s="216"/>
      <c r="L9" s="73" t="s">
        <v>59</v>
      </c>
      <c r="M9" s="229" t="s">
        <v>60</v>
      </c>
      <c r="N9" s="219"/>
      <c r="O9" s="220"/>
    </row>
    <row r="10" spans="1:15" ht="23.25" customHeight="1" thickBot="1" x14ac:dyDescent="0.35">
      <c r="A10" s="230" t="s">
        <v>61</v>
      </c>
      <c r="B10" s="231"/>
      <c r="C10" s="232"/>
      <c r="D10" s="233" t="s">
        <v>62</v>
      </c>
      <c r="E10" s="234"/>
      <c r="F10" s="234"/>
      <c r="G10" s="234"/>
      <c r="H10" s="234"/>
      <c r="I10" s="234"/>
      <c r="J10" s="235"/>
      <c r="K10" s="217"/>
      <c r="L10" s="75" t="s">
        <v>63</v>
      </c>
      <c r="M10" s="75" t="s">
        <v>64</v>
      </c>
      <c r="N10" s="75" t="s">
        <v>65</v>
      </c>
      <c r="O10" s="76" t="s">
        <v>66</v>
      </c>
    </row>
    <row r="11" spans="1:15" ht="21.75" customHeight="1" x14ac:dyDescent="0.3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 x14ac:dyDescent="0.3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 x14ac:dyDescent="0.3">
      <c r="A13" s="83"/>
      <c r="B13" s="205" t="s">
        <v>103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84" t="s">
        <v>67</v>
      </c>
      <c r="O13" s="82"/>
    </row>
    <row r="14" spans="1:15" ht="9" customHeight="1" x14ac:dyDescent="0.3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 x14ac:dyDescent="0.3">
      <c r="A15" s="83"/>
      <c r="B15" s="188" t="str">
        <f>"견 적 금 액 : 一金"&amp;NUMBERSTRING(M32,1) &amp; "원정""(\"&amp; TEXT(M32,"#,###")&amp;"원) [VAT 별도]"</f>
        <v>견 적 금 액 : 一金오십칠만구천원정"(\579,000원) [VAT 별도]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/>
    </row>
    <row r="16" spans="1:15" ht="15" thickBot="1" x14ac:dyDescent="0.35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90"/>
      <c r="L16" s="190"/>
      <c r="M16" s="190"/>
      <c r="N16" s="190"/>
      <c r="O16" s="191"/>
    </row>
    <row r="17" spans="1:17" ht="27.75" customHeight="1" thickBot="1" x14ac:dyDescent="0.35">
      <c r="A17" s="85" t="s">
        <v>68</v>
      </c>
      <c r="B17" s="198" t="s">
        <v>69</v>
      </c>
      <c r="C17" s="199"/>
      <c r="D17" s="199"/>
      <c r="E17" s="199"/>
      <c r="F17" s="199"/>
      <c r="G17" s="200"/>
      <c r="H17" s="86" t="s">
        <v>70</v>
      </c>
      <c r="I17" s="87" t="s">
        <v>71</v>
      </c>
      <c r="J17" s="201" t="s">
        <v>72</v>
      </c>
      <c r="K17" s="202"/>
      <c r="L17" s="202"/>
      <c r="M17" s="203"/>
      <c r="N17" s="198" t="s">
        <v>73</v>
      </c>
      <c r="O17" s="204"/>
    </row>
    <row r="18" spans="1:17" ht="28.5" customHeight="1" x14ac:dyDescent="0.3">
      <c r="A18" s="88">
        <v>1</v>
      </c>
      <c r="B18" s="192" t="s">
        <v>12</v>
      </c>
      <c r="C18" s="193"/>
      <c r="D18" s="193"/>
      <c r="E18" s="193"/>
      <c r="F18" s="193"/>
      <c r="G18" s="194"/>
      <c r="H18" s="121">
        <v>1</v>
      </c>
      <c r="I18" s="122" t="s">
        <v>6</v>
      </c>
      <c r="J18" s="195">
        <f>IFERROR(LOOKUP(2,1/('내역서(표준단가)'!O4:O1048576&lt;&gt;""),'내역서(표준단가)'!O4:O1048576),"-")</f>
        <v>23380</v>
      </c>
      <c r="K18" s="195"/>
      <c r="L18" s="195"/>
      <c r="M18" s="195"/>
      <c r="N18" s="196"/>
      <c r="O18" s="197"/>
    </row>
    <row r="19" spans="1:17" ht="28.5" customHeight="1" x14ac:dyDescent="0.3">
      <c r="A19" s="89">
        <v>2</v>
      </c>
      <c r="B19" s="172" t="s">
        <v>13</v>
      </c>
      <c r="C19" s="173"/>
      <c r="D19" s="173"/>
      <c r="E19" s="173"/>
      <c r="F19" s="173"/>
      <c r="G19" s="174"/>
      <c r="H19" s="123">
        <v>1</v>
      </c>
      <c r="I19" s="123" t="s">
        <v>6</v>
      </c>
      <c r="J19" s="175">
        <f>IFERROR(LOOKUP(2,1/('내역서(표준단가)'!Q4:Q1048576&lt;&gt;""),'내역서(표준단가)'!Q4:Q1048576),"-")</f>
        <v>417054</v>
      </c>
      <c r="K19" s="176"/>
      <c r="L19" s="176"/>
      <c r="M19" s="177"/>
      <c r="N19" s="178"/>
      <c r="O19" s="179"/>
    </row>
    <row r="20" spans="1:17" ht="28.5" customHeight="1" x14ac:dyDescent="0.3">
      <c r="A20" s="89">
        <v>3</v>
      </c>
      <c r="B20" s="180" t="s">
        <v>74</v>
      </c>
      <c r="C20" s="181"/>
      <c r="D20" s="181"/>
      <c r="E20" s="181"/>
      <c r="F20" s="181"/>
      <c r="G20" s="182"/>
      <c r="H20" s="90">
        <v>1</v>
      </c>
      <c r="I20" s="90" t="s">
        <v>6</v>
      </c>
      <c r="J20" s="183">
        <f>IFERROR(SUM(J21:M29),"-")</f>
        <v>68223.46057684999</v>
      </c>
      <c r="K20" s="184"/>
      <c r="L20" s="184"/>
      <c r="M20" s="185"/>
      <c r="N20" s="186"/>
      <c r="O20" s="187"/>
      <c r="P20" s="91"/>
    </row>
    <row r="21" spans="1:17" ht="28.5" customHeight="1" x14ac:dyDescent="0.3">
      <c r="A21" s="88"/>
      <c r="B21" s="92"/>
      <c r="C21" s="164" t="s">
        <v>75</v>
      </c>
      <c r="D21" s="165"/>
      <c r="E21" s="165"/>
      <c r="F21" s="165"/>
      <c r="G21" s="166"/>
      <c r="H21" s="124">
        <v>1</v>
      </c>
      <c r="I21" s="124" t="s">
        <v>6</v>
      </c>
      <c r="J21" s="167">
        <f>IFERROR(LOOKUP(2,1/('내역서(표준단가)'!S4:S1048576&lt;&gt;""),'내역서(표준단가)'!S4:S1048576)+LOOKUP(2,1/('내역서(표준단가)'!U4:U1048576&lt;&gt;""),'내역서(표준단가)'!U4:U1048576),"-")</f>
        <v>0</v>
      </c>
      <c r="K21" s="168"/>
      <c r="L21" s="168"/>
      <c r="M21" s="169"/>
      <c r="N21" s="170" t="s">
        <v>76</v>
      </c>
      <c r="O21" s="171"/>
    </row>
    <row r="22" spans="1:17" ht="28.5" customHeight="1" x14ac:dyDescent="0.3">
      <c r="A22" s="88"/>
      <c r="B22" s="92"/>
      <c r="C22" s="158" t="s">
        <v>77</v>
      </c>
      <c r="D22" s="159"/>
      <c r="E22" s="159"/>
      <c r="F22" s="159"/>
      <c r="G22" s="160"/>
      <c r="H22" s="93">
        <v>3.11</v>
      </c>
      <c r="I22" s="93" t="s">
        <v>78</v>
      </c>
      <c r="J22" s="161">
        <f>IFERROR((J18+J19)*H22%,"-")</f>
        <v>13697.4974</v>
      </c>
      <c r="K22" s="162"/>
      <c r="L22" s="162"/>
      <c r="M22" s="163"/>
      <c r="N22" s="154" t="s">
        <v>79</v>
      </c>
      <c r="O22" s="155"/>
    </row>
    <row r="23" spans="1:17" ht="28.5" customHeight="1" x14ac:dyDescent="0.3">
      <c r="A23" s="88"/>
      <c r="B23" s="92"/>
      <c r="C23" s="158" t="s">
        <v>80</v>
      </c>
      <c r="D23" s="159"/>
      <c r="E23" s="159"/>
      <c r="F23" s="159"/>
      <c r="G23" s="160"/>
      <c r="H23" s="93">
        <v>3.56</v>
      </c>
      <c r="I23" s="93" t="s">
        <v>81</v>
      </c>
      <c r="J23" s="161">
        <f>IFERROR(J19*H23%,"-")</f>
        <v>14847.1224</v>
      </c>
      <c r="K23" s="162"/>
      <c r="L23" s="162"/>
      <c r="M23" s="163"/>
      <c r="N23" s="154" t="s">
        <v>82</v>
      </c>
      <c r="O23" s="155"/>
    </row>
    <row r="24" spans="1:17" ht="28.5" customHeight="1" x14ac:dyDescent="0.3">
      <c r="A24" s="88"/>
      <c r="B24" s="92"/>
      <c r="C24" s="158" t="s">
        <v>83</v>
      </c>
      <c r="D24" s="159"/>
      <c r="E24" s="159"/>
      <c r="F24" s="159"/>
      <c r="G24" s="160"/>
      <c r="H24" s="93">
        <v>1.01</v>
      </c>
      <c r="I24" s="93" t="s">
        <v>81</v>
      </c>
      <c r="J24" s="161">
        <f>IFERROR(J19*H24%,"-")</f>
        <v>4212.2453999999998</v>
      </c>
      <c r="K24" s="162"/>
      <c r="L24" s="162"/>
      <c r="M24" s="163"/>
      <c r="N24" s="154" t="s">
        <v>84</v>
      </c>
      <c r="O24" s="155"/>
    </row>
    <row r="25" spans="1:17" ht="28.5" customHeight="1" x14ac:dyDescent="0.3">
      <c r="A25" s="88"/>
      <c r="B25" s="92"/>
      <c r="C25" s="158" t="s">
        <v>85</v>
      </c>
      <c r="D25" s="159"/>
      <c r="E25" s="159"/>
      <c r="F25" s="159"/>
      <c r="G25" s="160"/>
      <c r="H25" s="94">
        <v>3.5449999999999999</v>
      </c>
      <c r="I25" s="93" t="s">
        <v>81</v>
      </c>
      <c r="J25" s="161">
        <f>IFERROR(J19*H25%,"-")</f>
        <v>14784.564300000002</v>
      </c>
      <c r="K25" s="162"/>
      <c r="L25" s="162"/>
      <c r="M25" s="163"/>
      <c r="N25" s="154" t="s">
        <v>86</v>
      </c>
      <c r="O25" s="155"/>
      <c r="Q25" s="91"/>
    </row>
    <row r="26" spans="1:17" ht="28.5" customHeight="1" x14ac:dyDescent="0.3">
      <c r="A26" s="88"/>
      <c r="B26" s="92"/>
      <c r="C26" s="158" t="s">
        <v>87</v>
      </c>
      <c r="D26" s="159"/>
      <c r="E26" s="159"/>
      <c r="F26" s="159"/>
      <c r="G26" s="160"/>
      <c r="H26" s="93">
        <v>4.5</v>
      </c>
      <c r="I26" s="93" t="s">
        <v>81</v>
      </c>
      <c r="J26" s="161">
        <f>IFERROR(J19*H26%,"-")</f>
        <v>18767.43</v>
      </c>
      <c r="K26" s="162"/>
      <c r="L26" s="162"/>
      <c r="M26" s="163"/>
      <c r="N26" s="154" t="s">
        <v>88</v>
      </c>
      <c r="O26" s="155"/>
      <c r="Q26" s="95"/>
    </row>
    <row r="27" spans="1:17" ht="28.5" customHeight="1" x14ac:dyDescent="0.3">
      <c r="A27" s="88"/>
      <c r="B27" s="92"/>
      <c r="C27" s="148" t="s">
        <v>89</v>
      </c>
      <c r="D27" s="149"/>
      <c r="E27" s="149"/>
      <c r="F27" s="149"/>
      <c r="G27" s="150"/>
      <c r="H27" s="96">
        <v>12.95</v>
      </c>
      <c r="I27" s="97" t="s">
        <v>81</v>
      </c>
      <c r="J27" s="151">
        <f>IFERROR($H$27*J25%,"-")</f>
        <v>1914.6010768500003</v>
      </c>
      <c r="K27" s="152"/>
      <c r="L27" s="152"/>
      <c r="M27" s="153"/>
      <c r="N27" s="154" t="s">
        <v>90</v>
      </c>
      <c r="O27" s="155"/>
    </row>
    <row r="28" spans="1:17" ht="28.5" customHeight="1" x14ac:dyDescent="0.3">
      <c r="A28" s="88"/>
      <c r="B28" s="92"/>
      <c r="C28" s="148" t="s">
        <v>91</v>
      </c>
      <c r="D28" s="149"/>
      <c r="E28" s="149"/>
      <c r="F28" s="149"/>
      <c r="G28" s="150"/>
      <c r="H28" s="96">
        <v>8.1000000000000003E-2</v>
      </c>
      <c r="I28" s="97" t="s">
        <v>81</v>
      </c>
      <c r="J28" s="151" t="str">
        <f>IFERROR(IF(SUM(J21:J27,J18:J19)&gt;=10000000,SUM(J21:J27,J18:J19)*H28%,"-"),"-")</f>
        <v>-</v>
      </c>
      <c r="K28" s="152"/>
      <c r="L28" s="152"/>
      <c r="M28" s="153"/>
      <c r="N28" s="156" t="s">
        <v>92</v>
      </c>
      <c r="O28" s="157"/>
    </row>
    <row r="29" spans="1:17" ht="28.5" customHeight="1" x14ac:dyDescent="0.3">
      <c r="A29" s="98"/>
      <c r="B29" s="99"/>
      <c r="C29" s="125" t="s">
        <v>93</v>
      </c>
      <c r="D29" s="126"/>
      <c r="E29" s="126"/>
      <c r="F29" s="126"/>
      <c r="G29" s="127"/>
      <c r="H29" s="100">
        <v>1</v>
      </c>
      <c r="I29" s="101" t="s">
        <v>94</v>
      </c>
      <c r="J29" s="128">
        <f>34*0</f>
        <v>0</v>
      </c>
      <c r="K29" s="129"/>
      <c r="L29" s="129"/>
      <c r="M29" s="130"/>
      <c r="N29" s="131" t="s">
        <v>95</v>
      </c>
      <c r="O29" s="132"/>
    </row>
    <row r="30" spans="1:17" ht="28.5" customHeight="1" x14ac:dyDescent="0.3">
      <c r="A30" s="98">
        <v>4</v>
      </c>
      <c r="B30" s="99"/>
      <c r="C30" s="125" t="s">
        <v>96</v>
      </c>
      <c r="D30" s="126"/>
      <c r="E30" s="126"/>
      <c r="F30" s="126"/>
      <c r="G30" s="127"/>
      <c r="H30" s="101">
        <v>5</v>
      </c>
      <c r="I30" s="102" t="s">
        <v>97</v>
      </c>
      <c r="J30" s="138">
        <f>IFERROR(SUM(J18:M20)*H30%,"-")</f>
        <v>25432.873028842499</v>
      </c>
      <c r="K30" s="139"/>
      <c r="L30" s="139"/>
      <c r="M30" s="140"/>
      <c r="N30" s="141" t="s">
        <v>98</v>
      </c>
      <c r="O30" s="142"/>
    </row>
    <row r="31" spans="1:17" ht="28.5" customHeight="1" thickBot="1" x14ac:dyDescent="0.35">
      <c r="A31" s="98">
        <v>5</v>
      </c>
      <c r="B31" s="99"/>
      <c r="C31" s="125" t="s">
        <v>99</v>
      </c>
      <c r="D31" s="126"/>
      <c r="E31" s="126"/>
      <c r="F31" s="126"/>
      <c r="G31" s="127"/>
      <c r="H31" s="101">
        <v>7.5</v>
      </c>
      <c r="I31" s="102" t="s">
        <v>81</v>
      </c>
      <c r="J31" s="143">
        <f>IFERROR(SUM(J18:M20:J30)*H31%,"-")</f>
        <v>45173.534563690686</v>
      </c>
      <c r="K31" s="144"/>
      <c r="L31" s="144"/>
      <c r="M31" s="145"/>
      <c r="N31" s="146" t="s">
        <v>100</v>
      </c>
      <c r="O31" s="147"/>
      <c r="Q31" s="103"/>
    </row>
    <row r="32" spans="1:17" ht="28.5" customHeight="1" thickBot="1" x14ac:dyDescent="0.35">
      <c r="A32" s="133" t="s">
        <v>101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IFERROR(ROUNDDOWN(SUM(J18:M20)+J30+J31,-3),"-")</f>
        <v>579000</v>
      </c>
      <c r="N32" s="136"/>
      <c r="O32" s="137"/>
      <c r="P32" s="107"/>
    </row>
    <row r="33" spans="1:15" x14ac:dyDescent="0.3">
      <c r="A33" s="108" t="s">
        <v>102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 x14ac:dyDescent="0.3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 x14ac:dyDescent="0.3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 x14ac:dyDescent="0.3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 x14ac:dyDescent="0.3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 x14ac:dyDescent="0.3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 x14ac:dyDescent="0.3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 x14ac:dyDescent="0.35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 x14ac:dyDescent="0.3">
      <c r="M42" s="103"/>
    </row>
    <row r="43" spans="1:15" x14ac:dyDescent="0.3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70" zoomScaleNormal="70" workbookViewId="0">
      <selection activeCell="A55" sqref="A55"/>
    </sheetView>
  </sheetViews>
  <sheetFormatPr defaultColWidth="9" defaultRowHeight="12.75" x14ac:dyDescent="0.3"/>
  <cols>
    <col min="1" max="1" width="19.375" style="20" bestFit="1" customWidth="1"/>
    <col min="2" max="5" width="18.5" style="20" hidden="1" customWidth="1"/>
    <col min="6" max="6" width="20.625" style="4" hidden="1" customWidth="1"/>
    <col min="7" max="7" width="19.25" style="4" hidden="1" customWidth="1"/>
    <col min="8" max="8" width="16.625" style="4" hidden="1" customWidth="1"/>
    <col min="9" max="9" width="10.125" style="4" hidden="1" customWidth="1"/>
    <col min="10" max="10" width="31.25" style="4" customWidth="1"/>
    <col min="11" max="11" width="26.375" style="4" bestFit="1" customWidth="1"/>
    <col min="12" max="12" width="5.25" style="4" bestFit="1" customWidth="1"/>
    <col min="13" max="13" width="8.125" style="4" bestFit="1" customWidth="1"/>
    <col min="14" max="14" width="10.25" style="4" bestFit="1" customWidth="1"/>
    <col min="15" max="15" width="15.5" style="4" bestFit="1" customWidth="1"/>
    <col min="16" max="16" width="10.25" style="4" bestFit="1" customWidth="1"/>
    <col min="17" max="17" width="15.5" style="4" bestFit="1" customWidth="1"/>
    <col min="18" max="18" width="8.5" style="4" customWidth="1"/>
    <col min="19" max="19" width="12.5" style="4" customWidth="1"/>
    <col min="20" max="20" width="8.875" style="4" customWidth="1"/>
    <col min="21" max="21" width="12.125" style="4" customWidth="1"/>
    <col min="22" max="22" width="16.75" style="4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 x14ac:dyDescent="0.3">
      <c r="A1" s="236"/>
      <c r="B1" s="236"/>
      <c r="C1" s="236"/>
      <c r="D1" s="236"/>
      <c r="E1" s="236"/>
      <c r="F1" s="236"/>
      <c r="G1" s="236"/>
      <c r="H1" s="236"/>
      <c r="I1" s="236"/>
      <c r="N1" s="5"/>
      <c r="O1" s="3" t="s">
        <v>10</v>
      </c>
      <c r="Q1" s="3" t="s">
        <v>10</v>
      </c>
      <c r="S1" s="3" t="s">
        <v>10</v>
      </c>
      <c r="U1" s="3" t="s">
        <v>10</v>
      </c>
    </row>
    <row r="2" spans="1:24" ht="19.899999999999999" customHeight="1" thickBot="1" x14ac:dyDescent="0.35">
      <c r="A2" s="236"/>
      <c r="B2" s="236"/>
      <c r="C2" s="236"/>
      <c r="D2" s="236"/>
      <c r="E2" s="236"/>
      <c r="F2" s="236"/>
      <c r="G2" s="236"/>
      <c r="H2" s="236"/>
      <c r="I2" s="236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19.899999999999999" customHeight="1" x14ac:dyDescent="0.3">
      <c r="A3" s="8"/>
      <c r="B3" s="8"/>
      <c r="C3" s="8"/>
      <c r="D3" s="8"/>
      <c r="E3" s="8"/>
      <c r="F3" s="8" t="s">
        <v>105</v>
      </c>
      <c r="G3" s="9"/>
      <c r="H3" s="9"/>
      <c r="I3" s="9"/>
      <c r="J3" s="245" t="s">
        <v>11</v>
      </c>
      <c r="K3" s="245"/>
      <c r="L3" s="245" t="s">
        <v>8</v>
      </c>
      <c r="M3" s="245" t="s">
        <v>5</v>
      </c>
      <c r="N3" s="241" t="s">
        <v>12</v>
      </c>
      <c r="O3" s="241"/>
      <c r="P3" s="241" t="s">
        <v>13</v>
      </c>
      <c r="Q3" s="241"/>
      <c r="R3" s="242" t="s">
        <v>14</v>
      </c>
      <c r="S3" s="242"/>
      <c r="T3" s="242" t="s">
        <v>106</v>
      </c>
      <c r="U3" s="242"/>
      <c r="V3" s="243" t="s">
        <v>15</v>
      </c>
      <c r="W3" s="239" t="s">
        <v>16</v>
      </c>
      <c r="X3" s="237" t="s">
        <v>7</v>
      </c>
    </row>
    <row r="4" spans="1:24" ht="19.899999999999999" customHeight="1" x14ac:dyDescent="0.3">
      <c r="A4" s="10" t="s">
        <v>17</v>
      </c>
      <c r="B4" s="11"/>
      <c r="C4" s="11"/>
      <c r="D4" s="11"/>
      <c r="E4" s="11"/>
      <c r="F4" s="12" t="s">
        <v>18</v>
      </c>
      <c r="G4" s="12" t="s">
        <v>19</v>
      </c>
      <c r="H4" s="12" t="s">
        <v>20</v>
      </c>
      <c r="I4" s="12" t="s">
        <v>21</v>
      </c>
      <c r="J4" s="13" t="s">
        <v>22</v>
      </c>
      <c r="K4" s="13" t="s">
        <v>23</v>
      </c>
      <c r="L4" s="246"/>
      <c r="M4" s="246"/>
      <c r="N4" s="14" t="s">
        <v>24</v>
      </c>
      <c r="O4" s="15" t="s">
        <v>25</v>
      </c>
      <c r="P4" s="14" t="s">
        <v>26</v>
      </c>
      <c r="Q4" s="15" t="s">
        <v>25</v>
      </c>
      <c r="R4" s="15" t="s">
        <v>27</v>
      </c>
      <c r="S4" s="15" t="s">
        <v>25</v>
      </c>
      <c r="T4" s="15" t="s">
        <v>27</v>
      </c>
      <c r="U4" s="15" t="s">
        <v>25</v>
      </c>
      <c r="V4" s="244"/>
      <c r="W4" s="240"/>
      <c r="X4" s="238"/>
    </row>
    <row r="5" spans="1:24" s="16" customFormat="1" ht="19.899999999999999" customHeight="1" x14ac:dyDescent="0.3">
      <c r="A5" s="25" t="str">
        <f t="shared" ref="A5:A8" si="0">F5&amp;G5&amp;H5&amp;I5</f>
        <v>M024400903200101</v>
      </c>
      <c r="B5" s="26"/>
      <c r="C5" s="26"/>
      <c r="D5" s="26"/>
      <c r="E5" s="26"/>
      <c r="F5" s="27"/>
      <c r="G5" s="28"/>
      <c r="H5" s="36" t="s">
        <v>28</v>
      </c>
      <c r="I5" s="27"/>
      <c r="J5" s="37" t="s">
        <v>29</v>
      </c>
      <c r="K5" s="37" t="s">
        <v>30</v>
      </c>
      <c r="L5" s="37" t="s">
        <v>31</v>
      </c>
      <c r="M5" s="30">
        <v>4</v>
      </c>
      <c r="N5" s="43">
        <v>2000</v>
      </c>
      <c r="O5" s="31">
        <f>SUM(N5:N5*M5*$O$2)</f>
        <v>6680</v>
      </c>
      <c r="P5" s="32"/>
      <c r="Q5" s="31">
        <f t="shared" ref="Q5:Q6" si="1">(P5*M5)*$Q$2</f>
        <v>0</v>
      </c>
      <c r="R5" s="45"/>
      <c r="S5" s="31">
        <f t="shared" ref="S5:S6" si="2">R5*M5*$S$2</f>
        <v>0</v>
      </c>
      <c r="T5" s="45"/>
      <c r="U5" s="31">
        <f t="shared" ref="U5:U6" si="3">T5*M5*$U$2</f>
        <v>0</v>
      </c>
      <c r="V5" s="51">
        <f t="shared" ref="V5:V6" si="4">SUM(O5+Q5)+S5+U5</f>
        <v>6680</v>
      </c>
      <c r="W5" s="30"/>
      <c r="X5" s="34"/>
    </row>
    <row r="6" spans="1:24" s="16" customFormat="1" ht="19.899999999999999" customHeight="1" x14ac:dyDescent="0.3">
      <c r="A6" s="25" t="str">
        <f t="shared" si="0"/>
        <v>M011800900100101</v>
      </c>
      <c r="B6" s="26"/>
      <c r="C6" s="26"/>
      <c r="D6" s="26"/>
      <c r="E6" s="26"/>
      <c r="F6" s="27"/>
      <c r="G6" s="28"/>
      <c r="H6" s="36" t="s">
        <v>32</v>
      </c>
      <c r="I6" s="27"/>
      <c r="J6" s="37" t="s">
        <v>33</v>
      </c>
      <c r="K6" s="37" t="s">
        <v>34</v>
      </c>
      <c r="L6" s="37" t="s">
        <v>35</v>
      </c>
      <c r="M6" s="30">
        <v>4</v>
      </c>
      <c r="N6" s="43">
        <v>5000</v>
      </c>
      <c r="O6" s="31">
        <f t="shared" ref="O6" si="5">SUM(N6:N6)*M6*$O$2</f>
        <v>16700</v>
      </c>
      <c r="P6" s="32"/>
      <c r="Q6" s="31">
        <f t="shared" si="1"/>
        <v>0</v>
      </c>
      <c r="R6" s="45"/>
      <c r="S6" s="31">
        <f t="shared" si="2"/>
        <v>0</v>
      </c>
      <c r="T6" s="45"/>
      <c r="U6" s="31">
        <f t="shared" si="3"/>
        <v>0</v>
      </c>
      <c r="V6" s="51">
        <f t="shared" si="4"/>
        <v>16700</v>
      </c>
      <c r="W6" s="30"/>
      <c r="X6" s="34"/>
    </row>
    <row r="7" spans="1:24" s="16" customFormat="1" ht="19.899999999999999" customHeight="1" x14ac:dyDescent="0.3">
      <c r="A7" s="25" t="str">
        <f t="shared" si="0"/>
        <v>L003</v>
      </c>
      <c r="B7" s="47"/>
      <c r="C7" s="47"/>
      <c r="D7" s="47"/>
      <c r="E7" s="47"/>
      <c r="F7" s="27"/>
      <c r="G7" s="28"/>
      <c r="H7" s="28"/>
      <c r="I7" s="38" t="s">
        <v>9</v>
      </c>
      <c r="J7" s="39" t="s">
        <v>38</v>
      </c>
      <c r="K7" s="40" t="s">
        <v>36</v>
      </c>
      <c r="L7" s="44" t="s">
        <v>37</v>
      </c>
      <c r="M7" s="46">
        <v>2</v>
      </c>
      <c r="N7" s="41"/>
      <c r="O7" s="31">
        <f t="shared" ref="O7:O8" si="6">SUM(N7:N7)*M7*$O$2</f>
        <v>0</v>
      </c>
      <c r="P7" s="42">
        <v>208527</v>
      </c>
      <c r="Q7" s="31">
        <f t="shared" ref="Q7" si="7">M7*P7</f>
        <v>417054</v>
      </c>
      <c r="R7" s="33"/>
      <c r="S7" s="31">
        <f t="shared" ref="S7" si="8">R7*M7*$S$2</f>
        <v>0</v>
      </c>
      <c r="T7" s="33"/>
      <c r="U7" s="31">
        <f t="shared" ref="U7:U8" si="9">T7*M7*$U$2</f>
        <v>0</v>
      </c>
      <c r="V7" s="45">
        <f t="shared" ref="V7:V8" si="10">SUM(O7+Q7)+S7+U7</f>
        <v>417054</v>
      </c>
      <c r="W7" s="46"/>
      <c r="X7" s="34"/>
    </row>
    <row r="8" spans="1:24" s="16" customFormat="1" ht="19.899999999999999" customHeight="1" x14ac:dyDescent="0.3">
      <c r="A8" s="25" t="str">
        <f t="shared" si="0"/>
        <v/>
      </c>
      <c r="B8" s="26"/>
      <c r="C8" s="26"/>
      <c r="D8" s="26"/>
      <c r="E8" s="26"/>
      <c r="F8" s="27"/>
      <c r="G8" s="28"/>
      <c r="H8" s="28"/>
      <c r="I8" s="27"/>
      <c r="J8" s="29"/>
      <c r="K8" s="29"/>
      <c r="L8" s="29"/>
      <c r="M8" s="35"/>
      <c r="N8" s="41"/>
      <c r="O8" s="31">
        <f t="shared" si="6"/>
        <v>0</v>
      </c>
      <c r="P8" s="32"/>
      <c r="Q8" s="31">
        <f t="shared" ref="Q8" si="11">(P8*M8)*$Q$2</f>
        <v>0</v>
      </c>
      <c r="R8" s="33"/>
      <c r="S8" s="31">
        <f t="shared" ref="S8" si="12">R8*M8*$S$2</f>
        <v>0</v>
      </c>
      <c r="T8" s="33"/>
      <c r="U8" s="31">
        <f t="shared" si="9"/>
        <v>0</v>
      </c>
      <c r="V8" s="33">
        <f t="shared" si="10"/>
        <v>0</v>
      </c>
      <c r="W8" s="35"/>
      <c r="X8" s="34"/>
    </row>
    <row r="9" spans="1:24" s="18" customFormat="1" ht="19.899999999999999" customHeight="1" x14ac:dyDescent="0.3">
      <c r="A9" s="17"/>
      <c r="B9" s="17"/>
      <c r="C9" s="17"/>
      <c r="D9" s="17"/>
      <c r="E9" s="17"/>
      <c r="O9" s="48">
        <f>SUM(O5:O8)</f>
        <v>23380</v>
      </c>
      <c r="P9" s="49"/>
      <c r="Q9" s="48">
        <f>SUM(Q5:Q8)</f>
        <v>417054</v>
      </c>
      <c r="R9" s="49"/>
      <c r="S9" s="48">
        <f>SUM(S5:S8)</f>
        <v>0</v>
      </c>
      <c r="T9" s="49"/>
      <c r="U9" s="48">
        <f>SUM(U5:U8)</f>
        <v>0</v>
      </c>
      <c r="V9" s="50">
        <f>SUM(V5:V8)</f>
        <v>440434</v>
      </c>
      <c r="W9" s="19"/>
    </row>
    <row r="13" spans="1:24" x14ac:dyDescent="0.3">
      <c r="Q13" s="2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54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G21" sqref="G21:G22"/>
    </sheetView>
  </sheetViews>
  <sheetFormatPr defaultColWidth="9" defaultRowHeight="16.5" x14ac:dyDescent="0.3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6" ht="18" customHeigh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spans="1:6" x14ac:dyDescent="0.3">
      <c r="A2" s="23" t="e">
        <v>#REF!</v>
      </c>
      <c r="B2" s="24">
        <f>'내역서(표준단가)'!F5</f>
        <v>0</v>
      </c>
      <c r="C2" s="24">
        <f>'내역서(표준단가)'!G5</f>
        <v>0</v>
      </c>
      <c r="D2" s="24" t="str">
        <f>'내역서(표준단가)'!H5</f>
        <v>M024400903200101</v>
      </c>
      <c r="E2" s="24">
        <f>'내역서(표준단가)'!I5</f>
        <v>0</v>
      </c>
      <c r="F2" s="24">
        <f>'내역서(표준단가)'!M5</f>
        <v>4</v>
      </c>
    </row>
    <row r="3" spans="1:6" x14ac:dyDescent="0.3">
      <c r="A3" s="23" t="str">
        <f>'내역서(표준단가)'!A6</f>
        <v>M011800900100101</v>
      </c>
      <c r="B3" s="24">
        <f>'내역서(표준단가)'!F6</f>
        <v>0</v>
      </c>
      <c r="C3" s="24">
        <f>'내역서(표준단가)'!G6</f>
        <v>0</v>
      </c>
      <c r="D3" s="24" t="str">
        <f>'내역서(표준단가)'!H6</f>
        <v>M011800900100101</v>
      </c>
      <c r="E3" s="24">
        <f>'내역서(표준단가)'!I6</f>
        <v>0</v>
      </c>
      <c r="F3" s="24">
        <f>'내역서(표준단가)'!M6</f>
        <v>4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2024-12-27T00:57:35Z</cp:lastPrinted>
  <dcterms:created xsi:type="dcterms:W3CDTF">2020-09-15T23:52:51Z</dcterms:created>
  <dcterms:modified xsi:type="dcterms:W3CDTF">2025-01-24T06:49:20Z</dcterms:modified>
</cp:coreProperties>
</file>
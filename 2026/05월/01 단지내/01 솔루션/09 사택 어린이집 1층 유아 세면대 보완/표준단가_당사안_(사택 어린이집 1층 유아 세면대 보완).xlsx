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D7C64485-65F5-42B3-AE46-F4B197DB00EE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시중가 근거서류" sheetId="6" r:id="rId3"/>
    <sheet name="Upload(시중가)" sheetId="7" r:id="rId4"/>
    <sheet name="Upload" sheetId="1" r:id="rId5"/>
  </sheets>
  <externalReferences>
    <externalReference r:id="rId6"/>
  </externalReferences>
  <definedNames>
    <definedName name="_xlnm.Print_Area" localSheetId="3">#REF!</definedName>
    <definedName name="_xlnm.Print_Area" localSheetId="2">#REF!</definedName>
    <definedName name="_xlnm.Print_Area">#REF!</definedName>
    <definedName name="_xlnm.Print_Titles" localSheetId="3">#REF!,#REF!</definedName>
    <definedName name="_xlnm.Print_Titles" localSheetId="2">#REF!,#REF!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Q6" i="4" l="1"/>
  <c r="O6" i="4"/>
  <c r="M6" i="4"/>
  <c r="K6" i="4"/>
  <c r="R6" i="4" s="1"/>
  <c r="Q5" i="4"/>
  <c r="O5" i="4"/>
  <c r="M5" i="4"/>
  <c r="K5" i="4"/>
  <c r="R5" i="4" s="1"/>
  <c r="A5" i="4"/>
  <c r="F3" i="1" l="1"/>
  <c r="E3" i="1"/>
  <c r="D3" i="1"/>
  <c r="C3" i="1"/>
  <c r="B3" i="1"/>
  <c r="A3" i="1" l="1"/>
  <c r="F2" i="1" l="1"/>
  <c r="E2" i="1"/>
  <c r="D2" i="1"/>
  <c r="C2" i="1"/>
  <c r="B2" i="1"/>
  <c r="A2" i="1"/>
  <c r="Q7" i="4" l="1"/>
  <c r="M7" i="4"/>
  <c r="O7" i="4" l="1"/>
  <c r="R7" i="4" l="1"/>
  <c r="F18" i="5" l="1"/>
  <c r="K7" i="4" l="1"/>
  <c r="F17" i="5" l="1"/>
  <c r="F16" i="5"/>
  <c r="F26" i="5" s="1"/>
  <c r="F22" i="5" l="1"/>
  <c r="F23" i="5" s="1"/>
  <c r="F21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<sst xmlns="http://schemas.openxmlformats.org/spreadsheetml/2006/main" count="130" uniqueCount="107">
  <si>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</si>
  <si>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</si>
  <si>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</si>
  <si>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</si>
  <si>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</si>
  <si>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</si>
  <si>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</si>
  <si>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</si>
  <si>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19" type="noConversion"/>
  </si>
  <si>
    <t xml:space="preserve">  </t>
  </si>
  <si>
    <t>NO</t>
  </si>
  <si>
    <t>품명</t>
    <phoneticPr fontId="19" type="noConversion"/>
  </si>
  <si>
    <t>규격</t>
    <phoneticPr fontId="19" type="noConversion"/>
  </si>
  <si>
    <t>수량</t>
    <phoneticPr fontId="19" type="noConversion"/>
  </si>
  <si>
    <t>단위</t>
    <phoneticPr fontId="19" type="noConversion"/>
  </si>
  <si>
    <t>금액</t>
    <phoneticPr fontId="19" type="noConversion"/>
  </si>
  <si>
    <t>비고</t>
    <phoneticPr fontId="19" type="noConversion"/>
  </si>
  <si>
    <t>직접비</t>
    <phoneticPr fontId="17" type="noConversion"/>
  </si>
  <si>
    <t>재료비</t>
    <phoneticPr fontId="17" type="noConversion"/>
  </si>
  <si>
    <t>노무비</t>
    <phoneticPr fontId="19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</si>
  <si>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</si>
  <si>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</si>
  <si>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</si>
  <si>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19" type="noConversion"/>
  </si>
  <si>
    <t>식</t>
    <phoneticPr fontId="19" type="noConversion"/>
  </si>
  <si>
    <t>모든공사에 적용</t>
    <phoneticPr fontId="19" type="noConversion"/>
  </si>
  <si>
    <t>  건강보험료</t>
    <phoneticPr fontId="19" type="noConversion"/>
  </si>
  <si>
    <t>모든공사에 적용</t>
    <phoneticPr fontId="19" type="noConversion"/>
  </si>
  <si>
    <t>  장기요양보험료</t>
    <phoneticPr fontId="19" type="noConversion"/>
  </si>
  <si>
    <t>  고용보험료</t>
    <phoneticPr fontId="19" type="noConversion"/>
  </si>
  <si>
    <t>  산재보험료</t>
    <phoneticPr fontId="19" type="noConversion"/>
  </si>
  <si>
    <t xml:space="preserve">  산업안전보건관리비</t>
    <phoneticPr fontId="19" type="noConversion"/>
  </si>
  <si>
    <t>소계</t>
    <phoneticPr fontId="17" type="noConversion"/>
  </si>
  <si>
    <t>합계(단수조정)</t>
    <phoneticPr fontId="17" type="noConversion"/>
  </si>
  <si>
    <t>VAT별도</t>
    <phoneticPr fontId="19" type="noConversion"/>
  </si>
  <si>
    <t>일반관리비/이윤</t>
    <phoneticPr fontId="19" type="noConversion"/>
  </si>
  <si>
    <t> (노무비+간접공사비)*5%</t>
    <phoneticPr fontId="19" type="noConversion"/>
  </si>
  <si>
    <t>등록번호</t>
    <phoneticPr fontId="13" type="noConversion"/>
  </si>
  <si>
    <t>종 목</t>
    <phoneticPr fontId="13" type="noConversion"/>
  </si>
  <si>
    <t>TEL, FAX</t>
    <phoneticPr fontId="13" type="noConversion"/>
  </si>
  <si>
    <t>상 호</t>
    <phoneticPr fontId="13" type="noConversion"/>
  </si>
  <si>
    <t>대표 이사</t>
    <phoneticPr fontId="13" type="noConversion"/>
  </si>
  <si>
    <t>사업장</t>
    <phoneticPr fontId="13" type="noConversion"/>
  </si>
  <si>
    <t>업 태</t>
    <phoneticPr fontId="13" type="noConversion"/>
  </si>
  <si>
    <t>할증기준</t>
    <phoneticPr fontId="11" type="noConversion"/>
  </si>
  <si>
    <t> 노무비*1.01%</t>
    <phoneticPr fontId="19" type="noConversion"/>
  </si>
  <si>
    <t xml:space="preserve"> 수신인 : 주식회사 에스엔아이 코퍼레이션</t>
    <phoneticPr fontId="17" type="noConversion"/>
  </si>
  <si>
    <t> 건강보험료*12.95%</t>
    <phoneticPr fontId="19" type="noConversion"/>
  </si>
  <si>
    <t> 노무비*3.56%</t>
    <phoneticPr fontId="19" type="noConversion"/>
  </si>
  <si>
    <t>314-86-35718</t>
    <phoneticPr fontId="11" type="noConversion"/>
  </si>
  <si>
    <t>㈜일성건축</t>
    <phoneticPr fontId="11" type="noConversion"/>
  </si>
  <si>
    <t>상 석 희</t>
    <phoneticPr fontId="11" type="noConversion"/>
  </si>
  <si>
    <t>대전 서구 도마6길 107 (도마동)</t>
    <phoneticPr fontId="11" type="noConversion"/>
  </si>
  <si>
    <t>건설업</t>
    <phoneticPr fontId="11" type="noConversion"/>
  </si>
  <si>
    <t>실내건축,인테리어공사</t>
    <phoneticPr fontId="11" type="noConversion"/>
  </si>
  <si>
    <t>042)527-0995, 042)527-0996</t>
    <phoneticPr fontId="11" type="noConversion"/>
  </si>
  <si>
    <t>인</t>
    <phoneticPr fontId="11" type="noConversion"/>
  </si>
  <si>
    <t>L003</t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</si>
  <si>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</si>
  <si>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</si>
  <si>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</si>
  <si>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</si>
  <si>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</si>
  <si>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</si>
  <si>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</si>
  <si>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</si>
  <si>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</si>
  <si>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</si>
  <si>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</si>
  <si>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</si>
  <si>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</si>
  <si>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</si>
  <si>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</si>
  <si>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</si>
  <si>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</si>
  <si>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</si>
  <si>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</si>
  <si>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</si>
  <si>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</si>
  <si>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 (재료비+노무비)*3.11%</t>
    <phoneticPr fontId="19" type="noConversion"/>
  </si>
  <si>
    <t> 노무비*4.75%</t>
    <phoneticPr fontId="19" type="noConversion"/>
  </si>
  <si>
    <t> 노무비*3.595%</t>
    <phoneticPr fontId="19" type="noConversion"/>
  </si>
  <si>
    <t xml:space="preserve"> 견적일 : 2026년  02월  25일</t>
    <phoneticPr fontId="17" type="noConversion"/>
  </si>
  <si>
    <t xml:space="preserve"> 공사명 : 어린이집 1층 유아 세면대 보수</t>
    <phoneticPr fontId="17" type="noConversion"/>
  </si>
  <si>
    <t xml:space="preserve">청소 및 현장관리 </t>
    <phoneticPr fontId="11" type="noConversion"/>
  </si>
  <si>
    <t>특별인부 0.5*2일 작업</t>
    <phoneticPr fontId="11" type="noConversion"/>
  </si>
  <si>
    <t>어린이집 1층 유아 세면대 보수</t>
    <phoneticPr fontId="11" type="noConversion"/>
  </si>
  <si>
    <t>전문업체 견적 및 세금계산서 제출예정</t>
    <phoneticPr fontId="11" type="noConversion"/>
  </si>
  <si>
    <t>set</t>
    <phoneticPr fontId="11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</si>
  <si>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</si>
  <si>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</si>
  <si>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</si>
  <si>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</si>
  <si>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</si>
  <si>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</si>
  <si>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</si>
  <si>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</si>
  <si>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</si>
  <si>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</si>
  <si>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</si>
  <si>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</si>
  <si>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</si>
  <si>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</si>
  <si>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</si>
  <si>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</si>
  <si>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 건축</t>
    <phoneticPr fontId="11" type="noConversion"/>
  </si>
  <si>
    <t>전문업체 세금계산서 제출 예정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</si>
</sst>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4" formatCode="0.0_ "/>
    <numFmt numFmtId="185" formatCode="#,##0;\-#,##0;"/>
    <numFmt numFmtId="186" formatCode="0.000"/>
    <numFmt numFmtId="187" formatCode="_-* #,##0.0_-;\-* #,##0.0_-;_-* &quot;-&quot;_-;_-@_-"/>
    <numFmt numFmtId="188" formatCode="#,##0_ 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30">
    <xf numFmtId="0" fontId="0" fillId="0" borderId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7" fontId="10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0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41">
    <xf numFmtId="0" fontId="0" fillId="0" borderId="0" xfId="0">
      <alignment vertical="center"/>
    </xf>
    <xf numFmtId="0" fontId="18" fillId="0" borderId="7" xfId="6" applyFont="1" applyBorder="1" applyAlignment="1">
      <alignment horizontal="right" vertical="center"/>
    </xf>
    <xf numFmtId="0" fontId="21" fillId="0" borderId="0" xfId="6" applyFont="1" applyAlignment="1">
      <alignment vertical="center"/>
    </xf>
    <xf numFmtId="0" fontId="22" fillId="0" borderId="0" xfId="3" applyFont="1"/>
    <xf numFmtId="0" fontId="23" fillId="0" borderId="5" xfId="6" applyFont="1" applyBorder="1" applyAlignment="1">
      <alignment horizontal="center" vertical="center"/>
    </xf>
    <xf numFmtId="0" fontId="18" fillId="0" borderId="6" xfId="6" applyFont="1" applyBorder="1" applyAlignment="1">
      <alignment horizontal="right" vertical="center"/>
    </xf>
    <xf numFmtId="0" fontId="18" fillId="5" borderId="25" xfId="6" applyFont="1" applyFill="1" applyBorder="1" applyAlignment="1">
      <alignment horizontal="center" vertical="center"/>
    </xf>
    <xf numFmtId="0" fontId="18" fillId="5" borderId="26" xfId="6" applyFont="1" applyFill="1" applyBorder="1" applyAlignment="1">
      <alignment vertical="center" shrinkToFit="1"/>
    </xf>
    <xf numFmtId="0" fontId="18" fillId="5" borderId="2" xfId="6" applyFont="1" applyFill="1" applyBorder="1" applyAlignment="1">
      <alignment horizontal="center" vertical="center"/>
    </xf>
    <xf numFmtId="0" fontId="18" fillId="5" borderId="27" xfId="6" applyFont="1" applyFill="1" applyBorder="1" applyAlignment="1">
      <alignment vertical="center" shrinkToFit="1"/>
    </xf>
    <xf numFmtId="0" fontId="24" fillId="0" borderId="0" xfId="6" applyFont="1" applyAlignment="1">
      <alignment vertical="center" shrinkToFit="1"/>
    </xf>
    <xf numFmtId="0" fontId="18" fillId="5" borderId="2" xfId="6" applyFont="1" applyFill="1" applyBorder="1" applyAlignment="1">
      <alignment horizontal="center" vertical="center" shrinkToFit="1"/>
    </xf>
    <xf numFmtId="0" fontId="18" fillId="0" borderId="2" xfId="6" applyFont="1" applyBorder="1" applyAlignment="1">
      <alignment horizontal="center" vertical="center"/>
    </xf>
    <xf numFmtId="0" fontId="18" fillId="0" borderId="27" xfId="6" applyFont="1" applyBorder="1" applyAlignment="1">
      <alignment vertical="center"/>
    </xf>
    <xf numFmtId="0" fontId="23" fillId="0" borderId="0" xfId="6" applyFont="1" applyAlignment="1">
      <alignment horizontal="center" vertical="center" shrinkToFit="1"/>
    </xf>
    <xf numFmtId="0" fontId="18" fillId="0" borderId="28" xfId="6" applyFont="1" applyBorder="1" applyAlignment="1">
      <alignment horizontal="center" vertical="center" shrinkToFit="1"/>
    </xf>
    <xf numFmtId="0" fontId="18" fillId="0" borderId="29" xfId="6" applyFont="1" applyBorder="1" applyAlignment="1">
      <alignment vertical="center" shrinkToFit="1"/>
    </xf>
    <xf numFmtId="0" fontId="24" fillId="0" borderId="7" xfId="6" applyFont="1" applyBorder="1" applyAlignment="1">
      <alignment vertical="center"/>
    </xf>
    <xf numFmtId="179" fontId="23" fillId="0" borderId="7" xfId="6" applyNumberFormat="1" applyFont="1" applyBorder="1" applyAlignment="1">
      <alignment vertical="center"/>
    </xf>
    <xf numFmtId="0" fontId="23" fillId="0" borderId="0" xfId="6" applyFont="1" applyAlignment="1">
      <alignment vertical="center" shrinkToFit="1"/>
    </xf>
    <xf numFmtId="0" fontId="18" fillId="0" borderId="8" xfId="6" applyFont="1" applyBorder="1" applyAlignment="1">
      <alignment horizontal="center" vertical="center"/>
    </xf>
    <xf numFmtId="0" fontId="18" fillId="0" borderId="9" xfId="6" applyFont="1" applyBorder="1" applyAlignment="1">
      <alignment horizontal="center" vertical="center"/>
    </xf>
    <xf numFmtId="0" fontId="18" fillId="0" borderId="10" xfId="6" applyFont="1" applyBorder="1" applyAlignment="1">
      <alignment horizontal="center" vertical="center"/>
    </xf>
    <xf numFmtId="0" fontId="25" fillId="0" borderId="11" xfId="6" applyFont="1" applyBorder="1" applyAlignment="1">
      <alignment horizontal="center" vertical="center"/>
    </xf>
    <xf numFmtId="0" fontId="18" fillId="0" borderId="12" xfId="6" applyFont="1" applyBorder="1" applyAlignment="1">
      <alignment vertical="center"/>
    </xf>
    <xf numFmtId="0" fontId="25" fillId="0" borderId="12" xfId="6" applyFont="1" applyBorder="1" applyAlignment="1">
      <alignment vertical="center"/>
    </xf>
    <xf numFmtId="1" fontId="25" fillId="0" borderId="12" xfId="6" applyNumberFormat="1" applyFont="1" applyBorder="1" applyAlignment="1">
      <alignment horizontal="center" vertical="center"/>
    </xf>
    <xf numFmtId="180" fontId="25" fillId="0" borderId="12" xfId="7" applyFont="1" applyBorder="1" applyAlignment="1">
      <alignment horizontal="right" vertical="center"/>
    </xf>
    <xf numFmtId="0" fontId="25" fillId="0" borderId="13" xfId="6" applyFont="1" applyBorder="1" applyAlignment="1">
      <alignment vertical="center"/>
    </xf>
    <xf numFmtId="0" fontId="25" fillId="0" borderId="14" xfId="6" applyFont="1" applyBorder="1" applyAlignment="1">
      <alignment horizontal="center" vertical="center"/>
    </xf>
    <xf numFmtId="0" fontId="25" fillId="0" borderId="15" xfId="6" applyFont="1" applyBorder="1" applyAlignment="1">
      <alignment horizontal="center" vertical="center"/>
    </xf>
    <xf numFmtId="0" fontId="25" fillId="0" borderId="15" xfId="3" applyFont="1" applyBorder="1" applyAlignment="1">
      <alignment horizontal="center" vertical="center"/>
    </xf>
    <xf numFmtId="1" fontId="25" fillId="0" borderId="15" xfId="6" applyNumberFormat="1" applyFont="1" applyBorder="1" applyAlignment="1">
      <alignment horizontal="center" vertical="center"/>
    </xf>
    <xf numFmtId="180" fontId="25" fillId="0" borderId="15" xfId="7" applyFont="1" applyBorder="1" applyAlignment="1">
      <alignment horizontal="right" vertical="center"/>
    </xf>
    <xf numFmtId="0" fontId="25" fillId="0" borderId="16" xfId="6" quotePrefix="1" applyFont="1" applyBorder="1" applyAlignment="1">
      <alignment vertical="center"/>
    </xf>
    <xf numFmtId="0" fontId="25" fillId="0" borderId="16" xfId="6" applyFont="1" applyBorder="1" applyAlignment="1">
      <alignment vertical="center"/>
    </xf>
    <xf numFmtId="0" fontId="18" fillId="8" borderId="15" xfId="6" applyFont="1" applyFill="1" applyBorder="1" applyAlignment="1">
      <alignment vertical="center"/>
    </xf>
    <xf numFmtId="1" fontId="18" fillId="8" borderId="15" xfId="6" applyNumberFormat="1" applyFont="1" applyFill="1" applyBorder="1" applyAlignment="1">
      <alignment horizontal="center" vertical="center"/>
    </xf>
    <xf numFmtId="180" fontId="18" fillId="8" borderId="15" xfId="7" applyFont="1" applyFill="1" applyBorder="1" applyAlignment="1">
      <alignment horizontal="right" vertical="center"/>
    </xf>
    <xf numFmtId="0" fontId="18" fillId="0" borderId="15" xfId="6" applyFont="1" applyBorder="1" applyAlignment="1">
      <alignment vertical="center"/>
    </xf>
    <xf numFmtId="0" fontId="25" fillId="0" borderId="15" xfId="6" applyFont="1" applyBorder="1" applyAlignment="1">
      <alignment vertical="center"/>
    </xf>
    <xf numFmtId="180" fontId="18" fillId="0" borderId="15" xfId="7" applyFont="1" applyFill="1" applyBorder="1" applyAlignment="1">
      <alignment horizontal="right" vertical="center"/>
    </xf>
    <xf numFmtId="0" fontId="25" fillId="0" borderId="15" xfId="8" applyFont="1" applyBorder="1" applyAlignment="1">
      <alignment horizontal="center" vertical="center"/>
    </xf>
    <xf numFmtId="178" fontId="25" fillId="0" borderId="15" xfId="5" applyFont="1" applyFill="1" applyBorder="1" applyAlignment="1">
      <alignment horizontal="right" vertical="center"/>
    </xf>
    <xf numFmtId="0" fontId="25" fillId="5" borderId="16" xfId="6" applyFont="1" applyFill="1" applyBorder="1" applyAlignment="1">
      <alignment vertical="center"/>
    </xf>
    <xf numFmtId="0" fontId="25" fillId="0" borderId="15" xfId="3" applyFont="1" applyBorder="1" applyAlignment="1">
      <alignment horizontal="left" vertical="center"/>
    </xf>
    <xf numFmtId="9" fontId="18" fillId="8" borderId="15" xfId="3" applyNumberFormat="1" applyFont="1" applyFill="1" applyBorder="1" applyAlignment="1">
      <alignment horizontal="right" vertical="center"/>
    </xf>
    <xf numFmtId="1" fontId="18" fillId="8" borderId="15" xfId="9" applyNumberFormat="1" applyFont="1" applyFill="1" applyBorder="1" applyAlignment="1">
      <alignment horizontal="center" vertical="center"/>
    </xf>
    <xf numFmtId="177" fontId="18" fillId="8" borderId="15" xfId="7" applyNumberFormat="1" applyFont="1" applyFill="1" applyBorder="1" applyAlignment="1">
      <alignment horizontal="right" vertical="center"/>
    </xf>
    <xf numFmtId="9" fontId="25" fillId="0" borderId="15" xfId="3" applyNumberFormat="1" applyFont="1" applyBorder="1" applyAlignment="1">
      <alignment horizontal="right" vertical="center"/>
    </xf>
    <xf numFmtId="1" fontId="25" fillId="0" borderId="15" xfId="9" applyNumberFormat="1" applyFont="1" applyFill="1" applyBorder="1" applyAlignment="1">
      <alignment horizontal="center" vertical="center"/>
    </xf>
    <xf numFmtId="177" fontId="18" fillId="0" borderId="15" xfId="7" applyNumberFormat="1" applyFont="1" applyFill="1" applyBorder="1" applyAlignment="1">
      <alignment horizontal="right" vertical="center"/>
    </xf>
    <xf numFmtId="0" fontId="25" fillId="0" borderId="15" xfId="3" applyFont="1" applyBorder="1" applyAlignment="1">
      <alignment vertical="center"/>
    </xf>
    <xf numFmtId="180" fontId="25" fillId="5" borderId="15" xfId="7" applyFont="1" applyFill="1" applyBorder="1" applyAlignment="1">
      <alignment horizontal="right" vertical="center"/>
    </xf>
    <xf numFmtId="180" fontId="18" fillId="8" borderId="0" xfId="3" applyNumberFormat="1" applyFont="1" applyFill="1" applyAlignment="1">
      <alignment vertical="center"/>
    </xf>
    <xf numFmtId="0" fontId="18" fillId="0" borderId="17" xfId="6" applyFont="1" applyBorder="1" applyAlignment="1">
      <alignment horizontal="center" vertical="center" textRotation="255"/>
    </xf>
    <xf numFmtId="0" fontId="18" fillId="0" borderId="18" xfId="6" applyFont="1" applyBorder="1" applyAlignment="1">
      <alignment vertical="top"/>
    </xf>
    <xf numFmtId="0" fontId="25" fillId="0" borderId="19" xfId="6" applyFont="1" applyBorder="1" applyAlignment="1">
      <alignment vertical="center"/>
    </xf>
    <xf numFmtId="0" fontId="25" fillId="0" borderId="19" xfId="6" applyFont="1" applyBorder="1" applyAlignment="1">
      <alignment horizontal="right" vertical="center"/>
    </xf>
    <xf numFmtId="0" fontId="25" fillId="0" borderId="20" xfId="6" applyFont="1" applyBorder="1" applyAlignment="1">
      <alignment vertical="center"/>
    </xf>
    <xf numFmtId="0" fontId="18" fillId="0" borderId="0" xfId="10" applyFont="1"/>
    <xf numFmtId="181" fontId="23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182" fontId="26" fillId="3" borderId="0" xfId="2" applyNumberFormat="1" applyFont="1" applyFill="1" applyAlignment="1">
      <alignment horizontal="center" vertical="center"/>
    </xf>
    <xf numFmtId="0" fontId="26" fillId="4" borderId="22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177" fontId="26" fillId="4" borderId="3" xfId="4" applyFont="1" applyFill="1" applyBorder="1" applyAlignment="1">
      <alignment horizontal="center" vertical="center"/>
    </xf>
    <xf numFmtId="178" fontId="26" fillId="4" borderId="3" xfId="5" applyFont="1" applyFill="1" applyBorder="1" applyAlignment="1">
      <alignment horizontal="center" vertical="center"/>
    </xf>
    <xf numFmtId="0" fontId="22" fillId="6" borderId="22" xfId="0" applyFont="1" applyFill="1" applyBorder="1" applyAlignment="1">
      <alignment horizontal="center" vertical="center"/>
    </xf>
    <xf numFmtId="49" fontId="22" fillId="7" borderId="3" xfId="0" applyNumberFormat="1" applyFont="1" applyFill="1" applyBorder="1" applyAlignment="1">
      <alignment horizontal="center" vertical="center" wrapText="1"/>
    </xf>
    <xf numFmtId="177" fontId="22" fillId="0" borderId="3" xfId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1" fontId="22" fillId="7" borderId="1" xfId="1" applyNumberFormat="1" applyFont="1" applyFill="1" applyBorder="1" applyAlignment="1">
      <alignment horizontal="center" vertical="center"/>
    </xf>
    <xf numFmtId="181" fontId="22" fillId="0" borderId="1" xfId="1" applyNumberFormat="1" applyFont="1" applyBorder="1" applyAlignment="1">
      <alignment horizontal="center" vertical="center"/>
    </xf>
    <xf numFmtId="184" fontId="22" fillId="0" borderId="1" xfId="1" applyNumberFormat="1" applyFont="1" applyBorder="1" applyAlignment="1">
      <alignment horizontal="center" vertical="center"/>
    </xf>
    <xf numFmtId="0" fontId="23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22" fillId="7" borderId="3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185" fontId="22" fillId="6" borderId="3" xfId="1" applyNumberFormat="1" applyFont="1" applyFill="1" applyBorder="1" applyAlignment="1">
      <alignment horizontal="right" vertical="center" wrapText="1"/>
    </xf>
    <xf numFmtId="185" fontId="22" fillId="0" borderId="3" xfId="1" applyNumberFormat="1" applyFont="1" applyFill="1" applyBorder="1" applyAlignment="1">
      <alignment horizontal="right" vertical="center" wrapText="1"/>
    </xf>
    <xf numFmtId="185" fontId="22" fillId="5" borderId="3" xfId="0" applyNumberFormat="1" applyFont="1" applyFill="1" applyBorder="1" applyAlignment="1">
      <alignment horizontal="right" vertical="center" wrapText="1"/>
    </xf>
    <xf numFmtId="186" fontId="22" fillId="0" borderId="3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6" fillId="4" borderId="3" xfId="3" applyFont="1" applyFill="1" applyBorder="1" applyAlignment="1">
      <alignment horizontal="center" vertical="center" wrapText="1"/>
    </xf>
    <xf numFmtId="49" fontId="22" fillId="0" borderId="3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6" fillId="9" borderId="24" xfId="0" applyFont="1" applyFill="1" applyBorder="1">
      <alignment vertical="center"/>
    </xf>
    <xf numFmtId="0" fontId="26" fillId="9" borderId="21" xfId="0" applyFont="1" applyFill="1" applyBorder="1">
      <alignment vertical="center"/>
    </xf>
    <xf numFmtId="0" fontId="27" fillId="0" borderId="0" xfId="0" applyFont="1">
      <alignment vertical="center"/>
    </xf>
    <xf numFmtId="0" fontId="25" fillId="10" borderId="0" xfId="0" applyFont="1" applyFill="1">
      <alignment vertical="center"/>
    </xf>
    <xf numFmtId="0" fontId="25" fillId="0" borderId="0" xfId="0" applyFont="1">
      <alignment vertical="center"/>
    </xf>
    <xf numFmtId="177" fontId="18" fillId="10" borderId="0" xfId="0" applyNumberFormat="1" applyFont="1" applyFill="1">
      <alignment vertical="center"/>
    </xf>
    <xf numFmtId="0" fontId="18" fillId="0" borderId="0" xfId="0" applyFont="1">
      <alignment vertical="center"/>
    </xf>
    <xf numFmtId="177" fontId="18" fillId="0" borderId="0" xfId="0" applyNumberFormat="1" applyFont="1">
      <alignment vertical="center"/>
    </xf>
    <xf numFmtId="0" fontId="26" fillId="5" borderId="0" xfId="0" applyFont="1" applyFill="1">
      <alignment vertical="center"/>
    </xf>
    <xf numFmtId="177" fontId="22" fillId="0" borderId="0" xfId="0" applyNumberFormat="1" applyFont="1">
      <alignment vertical="center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21" fillId="0" borderId="0" xfId="6" applyFont="1" applyAlignment="1">
      <alignment horizontal="center" vertical="center"/>
    </xf>
    <xf numFmtId="0" fontId="24" fillId="0" borderId="0" xfId="6" applyFont="1" applyAlignment="1">
      <alignment vertical="center"/>
    </xf>
    <xf numFmtId="0" fontId="23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26" fillId="0" borderId="0" xfId="0" applyFont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9" borderId="4" xfId="0" applyFont="1" applyFill="1" applyBorder="1" applyAlignment="1">
      <alignment horizontal="center" vertical="center"/>
    </xf>
    <xf numFmtId="177" fontId="26" fillId="4" borderId="21" xfId="4" applyFont="1" applyFill="1" applyBorder="1" applyAlignment="1">
      <alignment horizontal="center" vertical="center"/>
    </xf>
    <xf numFmtId="178" fontId="26" fillId="4" borderId="21" xfId="5" applyFont="1" applyFill="1" applyBorder="1" applyAlignment="1">
      <alignment horizontal="center" vertical="center"/>
    </xf>
    <xf numFmtId="0" fontId="26" fillId="4" borderId="21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26" fillId="4" borderId="21" xfId="3" applyFont="1" applyFill="1" applyBorder="1" applyAlignment="1">
      <alignment horizontal="center" vertical="center"/>
    </xf>
    <xf numFmtId="0" fontId="26" fillId="4" borderId="3" xfId="3" applyFont="1" applyFill="1" applyBorder="1" applyAlignment="1">
      <alignment horizontal="center" vertical="center"/>
    </xf>
    <xf numFmtId="0" fontId="26" fillId="4" borderId="21" xfId="3" applyFont="1" applyFill="1" applyBorder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/>
    </xf>
    <xf numFmtId="49" fontId="27" fillId="7" borderId="3" xfId="0" applyNumberFormat="1" applyFont="1" applyFill="1" applyBorder="1" applyAlignment="1">
      <alignment horizontal="center" vertical="center" wrapText="1"/>
    </xf>
    <xf numFmtId="49" fontId="22" fillId="0" borderId="6" xfId="0" applyNumberFormat="1" applyFont="1" applyBorder="1" applyAlignment="1">
      <alignment horizontal="center" vertical="center" wrapText="1"/>
    </xf>
    <xf numFmtId="49" fontId="22" fillId="5" borderId="3" xfId="0" applyNumberFormat="1" applyFont="1" applyFill="1" applyBorder="1" applyAlignment="1">
      <alignment horizontal="center" vertical="center" wrapText="1"/>
    </xf>
    <xf numFmtId="185" fontId="22" fillId="0" borderId="3" xfId="0" applyNumberFormat="1" applyFont="1" applyBorder="1" applyAlignment="1">
      <alignment horizontal="right" vertical="center"/>
    </xf>
    <xf numFmtId="187" fontId="22" fillId="5" borderId="3" xfId="1" applyNumberFormat="1" applyFont="1" applyFill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 wrapText="1"/>
    </xf>
    <xf numFmtId="0" fontId="23" fillId="0" borderId="0" xfId="29" applyFont="1">
      <alignment vertical="center"/>
    </xf>
    <xf numFmtId="0" fontId="31" fillId="0" borderId="0" xfId="29" applyFont="1">
      <alignment vertical="center"/>
    </xf>
    <xf numFmtId="0" fontId="23" fillId="0" borderId="0" xfId="29" applyFont="1" applyAlignment="1">
      <alignment horizontal="center" vertical="center"/>
    </xf>
    <xf numFmtId="49" fontId="22" fillId="2" borderId="33" xfId="0" applyNumberFormat="1" applyFont="1" applyFill="1" applyBorder="1" applyAlignment="1">
      <alignment horizontal="center" vertical="center" wrapText="1"/>
    </xf>
    <xf numFmtId="49" fontId="22" fillId="2" borderId="34" xfId="0" applyNumberFormat="1" applyFont="1" applyFill="1" applyBorder="1" applyAlignment="1">
      <alignment horizontal="center" vertical="center" wrapText="1"/>
    </xf>
    <xf numFmtId="184" fontId="22" fillId="0" borderId="0" xfId="0" applyNumberFormat="1" applyFont="1">
      <alignment vertical="center"/>
    </xf>
    <xf numFmtId="188" fontId="22" fillId="0" borderId="0" xfId="0" applyNumberFormat="1" applyFont="1">
      <alignment vertical="center"/>
    </xf>
  </cellXfs>
  <cellStyles count="3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28" xr:uid="{27306CBF-92D0-42A2-8354-67A3F495EE38}"/>
    <cellStyle name="표준 5 2 2" xfId="29" xr:uid="{1CBF662F-7D83-4142-A0B8-4F1F0EAD979D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4</xdr:col>
      <xdr:colOff>51289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76121E1-469C-4983-8E1B-CD6418EC0CB8}"/>
            </a:ext>
          </a:extLst>
        </xdr:cNvPr>
        <xdr:cNvSpPr/>
      </xdr:nvSpPr>
      <xdr:spPr>
        <a:xfrm>
          <a:off x="1" y="650422"/>
          <a:ext cx="4232763" cy="55136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1068;&#49457;&#44148;&#52629;/AppData/Local/Temp/_AZTMP374_/&#50612;&#47536;&#51060;&#51665;%201&#52789;%20&#50976;&#50500;%20&#49464;&#47732;&#45824;%20&#48372;&#496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내역서(표준단가)"/>
      <sheetName val="시중가 근거서류"/>
      <sheetName val="Upload(시중가)"/>
      <sheetName val="Upload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15" sqref="K15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08" t="s">
        <v>6</v>
      </c>
      <c r="B2" s="108"/>
      <c r="C2" s="108"/>
      <c r="D2" s="108"/>
      <c r="E2" s="108"/>
      <c r="F2" s="108"/>
      <c r="G2" s="108"/>
      <c r="H2" s="2"/>
    </row>
    <row r="3" spans="1:9" ht="13.5">
      <c r="A3" s="77"/>
      <c r="B3" s="77"/>
      <c r="C3" s="77"/>
      <c r="D3" s="77"/>
      <c r="E3" s="77"/>
      <c r="F3" s="77"/>
      <c r="G3" s="77"/>
      <c r="H3" s="77"/>
    </row>
    <row r="4" spans="1:9" ht="13.5">
      <c r="A4" s="77"/>
      <c r="B4" s="77"/>
      <c r="C4" s="77"/>
      <c r="D4" s="77"/>
      <c r="E4" s="77"/>
      <c r="H4" s="77"/>
    </row>
    <row r="5" spans="1:9" ht="27" customHeight="1">
      <c r="A5" s="78" t="s">
        <v>46</v>
      </c>
      <c r="B5" s="4"/>
      <c r="C5" s="5"/>
      <c r="D5" s="77"/>
      <c r="E5" s="77"/>
      <c r="F5" s="6" t="s">
        <v>37</v>
      </c>
      <c r="G5" s="7" t="s">
        <v>49</v>
      </c>
      <c r="H5" s="77"/>
    </row>
    <row r="6" spans="1:9" ht="27" customHeight="1">
      <c r="A6" s="77"/>
      <c r="B6" s="77"/>
      <c r="C6" s="77"/>
      <c r="D6" s="77"/>
      <c r="E6" s="77"/>
      <c r="F6" s="8" t="s">
        <v>40</v>
      </c>
      <c r="G6" s="9" t="s">
        <v>50</v>
      </c>
      <c r="H6" s="77"/>
    </row>
    <row r="7" spans="1:9" ht="27" customHeight="1">
      <c r="A7" s="111" t="s">
        <v>83</v>
      </c>
      <c r="B7" s="112"/>
      <c r="C7" s="113"/>
      <c r="D7" s="77"/>
      <c r="E7" s="10"/>
      <c r="F7" s="11" t="s">
        <v>41</v>
      </c>
      <c r="G7" s="9" t="s">
        <v>51</v>
      </c>
      <c r="H7" s="77"/>
    </row>
    <row r="8" spans="1:9" ht="27" customHeight="1">
      <c r="A8" s="77"/>
      <c r="B8" s="77"/>
      <c r="C8" s="77"/>
      <c r="D8" s="77"/>
      <c r="E8" s="77"/>
      <c r="F8" s="8" t="s">
        <v>42</v>
      </c>
      <c r="G8" s="9" t="s">
        <v>52</v>
      </c>
      <c r="H8" s="77"/>
    </row>
    <row r="9" spans="1:9" ht="27" customHeight="1">
      <c r="A9" s="111" t="s">
        <v>82</v>
      </c>
      <c r="B9" s="112"/>
      <c r="C9" s="113"/>
      <c r="D9" s="77"/>
      <c r="E9" s="77"/>
      <c r="F9" s="8" t="s">
        <v>43</v>
      </c>
      <c r="G9" s="9" t="s">
        <v>53</v>
      </c>
      <c r="H9" s="77"/>
    </row>
    <row r="10" spans="1:9" ht="27" customHeight="1">
      <c r="A10" s="77"/>
      <c r="B10" s="77"/>
      <c r="C10" s="77"/>
      <c r="D10" s="77"/>
      <c r="E10" s="77"/>
      <c r="F10" s="12" t="s">
        <v>38</v>
      </c>
      <c r="G10" s="13" t="s">
        <v>54</v>
      </c>
      <c r="H10" s="77"/>
      <c r="I10" s="77"/>
    </row>
    <row r="11" spans="1:9" ht="27" customHeight="1">
      <c r="A11" s="109"/>
      <c r="B11" s="110"/>
      <c r="C11" s="110"/>
      <c r="D11" s="77"/>
      <c r="E11" s="14"/>
      <c r="F11" s="15" t="s">
        <v>39</v>
      </c>
      <c r="G11" s="16" t="s">
        <v>55</v>
      </c>
      <c r="H11" s="14"/>
    </row>
    <row r="12" spans="1:9" ht="19.5" thickBot="1">
      <c r="A12" s="17" t="s">
        <v>7</v>
      </c>
      <c r="B12" s="17" t="str">
        <f>NUMBERSTRING(F31,1)</f>
        <v>육십오만삼천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77"/>
      <c r="B13" s="77"/>
      <c r="C13" s="77"/>
      <c r="D13" s="77"/>
      <c r="E13" s="77"/>
      <c r="F13" s="77"/>
      <c r="G13" s="77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'내역서(표준단가)'!K7</f>
        <v>500000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'내역서(표준단가)'!M7</f>
        <v>112245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612245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01" t="s">
        <v>23</v>
      </c>
      <c r="C21" s="102" t="s">
        <v>80</v>
      </c>
      <c r="D21" s="103">
        <v>1</v>
      </c>
      <c r="E21" s="103" t="s">
        <v>24</v>
      </c>
      <c r="F21" s="104">
        <f>F17*4.75%</f>
        <v>5331.6374999999998</v>
      </c>
      <c r="G21" s="35" t="s">
        <v>25</v>
      </c>
    </row>
    <row r="22" spans="1:7" ht="33" customHeight="1">
      <c r="A22" s="29"/>
      <c r="B22" s="105" t="s">
        <v>26</v>
      </c>
      <c r="C22" s="102" t="s">
        <v>81</v>
      </c>
      <c r="D22" s="106">
        <v>1</v>
      </c>
      <c r="E22" s="106" t="s">
        <v>24</v>
      </c>
      <c r="F22" s="107">
        <f>F17*3.595%</f>
        <v>4035.2077500000005</v>
      </c>
      <c r="G22" s="44" t="s">
        <v>27</v>
      </c>
    </row>
    <row r="23" spans="1:7" ht="33" customHeight="1">
      <c r="A23" s="29"/>
      <c r="B23" s="42" t="s">
        <v>28</v>
      </c>
      <c r="C23" s="40" t="s">
        <v>47</v>
      </c>
      <c r="D23" s="30">
        <v>1</v>
      </c>
      <c r="E23" s="30" t="s">
        <v>24</v>
      </c>
      <c r="F23" s="43">
        <f>F22*12.95%</f>
        <v>522.55940362500007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1133.6744999999999</v>
      </c>
      <c r="G24" s="35" t="s">
        <v>27</v>
      </c>
    </row>
    <row r="25" spans="1:7" ht="33" customHeight="1">
      <c r="A25" s="29"/>
      <c r="B25" s="42" t="s">
        <v>30</v>
      </c>
      <c r="C25" s="40" t="s">
        <v>48</v>
      </c>
      <c r="D25" s="30">
        <v>1</v>
      </c>
      <c r="E25" s="30" t="s">
        <v>24</v>
      </c>
      <c r="F25" s="43">
        <f>F17*3.56%</f>
        <v>3995.922</v>
      </c>
      <c r="G25" s="35" t="s">
        <v>27</v>
      </c>
    </row>
    <row r="26" spans="1:7" ht="33" customHeight="1">
      <c r="A26" s="29"/>
      <c r="B26" s="42" t="s">
        <v>31</v>
      </c>
      <c r="C26" s="45" t="s">
        <v>79</v>
      </c>
      <c r="D26" s="30">
        <v>1</v>
      </c>
      <c r="E26" s="30" t="s">
        <v>24</v>
      </c>
      <c r="F26" s="43">
        <f>(F16+F17)*3.11%</f>
        <v>19040.819499999998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7315.2410326812505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41375.061686306253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653620.06168630626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653000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4">
    <mergeCell ref="A2:G2"/>
    <mergeCell ref="A11:C11"/>
    <mergeCell ref="A9:C9"/>
    <mergeCell ref="A7:C7"/>
  </mergeCells>
  <phoneticPr fontId="11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="85" zoomScaleNormal="85" workbookViewId="0">
      <pane ySplit="4" topLeftCell="A5" activePane="bottomLeft" state="frozen"/>
      <selection pane="bottomLeft" activeCell="N15" sqref="N15"/>
    </sheetView>
  </sheetViews>
  <sheetFormatPr defaultColWidth="9" defaultRowHeight="38.1" customHeight="1"/>
  <cols>
    <col min="1" max="1" width="21.25" style="99" bestFit="1" customWidth="1"/>
    <col min="2" max="5" width="17.75" style="90" hidden="1" customWidth="1"/>
    <col min="6" max="7" width="30.625" style="85" customWidth="1"/>
    <col min="8" max="8" width="11.375" style="90" bestFit="1" customWidth="1"/>
    <col min="9" max="9" width="7" style="90" bestFit="1" customWidth="1"/>
    <col min="10" max="10" width="10.875" style="90" bestFit="1" customWidth="1"/>
    <col min="11" max="11" width="13.5" style="90" bestFit="1" customWidth="1"/>
    <col min="12" max="12" width="9.25" style="90" bestFit="1" customWidth="1"/>
    <col min="13" max="13" width="13.5" style="90" bestFit="1" customWidth="1"/>
    <col min="14" max="14" width="6.125" style="90" customWidth="1"/>
    <col min="15" max="15" width="8.25" style="90" bestFit="1" customWidth="1"/>
    <col min="16" max="16" width="6.125" style="90" customWidth="1"/>
    <col min="17" max="17" width="8.25" style="90" bestFit="1" customWidth="1"/>
    <col min="18" max="18" width="16" style="90" bestFit="1" customWidth="1"/>
    <col min="19" max="19" width="10.75" style="62" bestFit="1" customWidth="1"/>
    <col min="20" max="20" width="9.125" style="90" bestFit="1" customWidth="1"/>
    <col min="21" max="16384" width="9" style="90"/>
  </cols>
  <sheetData>
    <row r="1" spans="1:20" ht="19.899999999999999" customHeight="1">
      <c r="A1" s="114"/>
      <c r="B1" s="114"/>
      <c r="C1" s="114"/>
      <c r="D1" s="114"/>
      <c r="E1" s="114"/>
      <c r="J1" s="62"/>
      <c r="K1" s="89" t="s">
        <v>58</v>
      </c>
      <c r="M1" s="89" t="s">
        <v>58</v>
      </c>
      <c r="O1" s="89" t="s">
        <v>58</v>
      </c>
      <c r="Q1" s="89" t="s">
        <v>58</v>
      </c>
    </row>
    <row r="2" spans="1:20" ht="19.899999999999999" customHeight="1" thickBot="1">
      <c r="A2" s="114"/>
      <c r="B2" s="114"/>
      <c r="C2" s="114"/>
      <c r="D2" s="114"/>
      <c r="E2" s="114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91"/>
      <c r="B3" s="91" t="s">
        <v>59</v>
      </c>
      <c r="C3" s="92"/>
      <c r="D3" s="92"/>
      <c r="E3" s="92"/>
      <c r="F3" s="125" t="s">
        <v>60</v>
      </c>
      <c r="G3" s="125"/>
      <c r="H3" s="123" t="s">
        <v>61</v>
      </c>
      <c r="I3" s="123" t="s">
        <v>5</v>
      </c>
      <c r="J3" s="119" t="s">
        <v>62</v>
      </c>
      <c r="K3" s="119"/>
      <c r="L3" s="119" t="s">
        <v>63</v>
      </c>
      <c r="M3" s="119"/>
      <c r="N3" s="120" t="s">
        <v>64</v>
      </c>
      <c r="O3" s="120"/>
      <c r="P3" s="120" t="s">
        <v>65</v>
      </c>
      <c r="Q3" s="120"/>
      <c r="R3" s="121" t="s">
        <v>66</v>
      </c>
      <c r="S3" s="117" t="s">
        <v>67</v>
      </c>
      <c r="T3" s="115" t="s">
        <v>44</v>
      </c>
    </row>
    <row r="4" spans="1:20" ht="19.899999999999999" customHeight="1">
      <c r="A4" s="65" t="s">
        <v>68</v>
      </c>
      <c r="B4" s="66" t="s">
        <v>69</v>
      </c>
      <c r="C4" s="66" t="s">
        <v>70</v>
      </c>
      <c r="D4" s="66" t="s">
        <v>71</v>
      </c>
      <c r="E4" s="66" t="s">
        <v>72</v>
      </c>
      <c r="F4" s="86" t="s">
        <v>73</v>
      </c>
      <c r="G4" s="86" t="s">
        <v>74</v>
      </c>
      <c r="H4" s="124"/>
      <c r="I4" s="124"/>
      <c r="J4" s="67" t="s">
        <v>75</v>
      </c>
      <c r="K4" s="68" t="s">
        <v>76</v>
      </c>
      <c r="L4" s="67" t="s">
        <v>77</v>
      </c>
      <c r="M4" s="68" t="s">
        <v>76</v>
      </c>
      <c r="N4" s="68" t="s">
        <v>78</v>
      </c>
      <c r="O4" s="68" t="s">
        <v>76</v>
      </c>
      <c r="P4" s="68" t="s">
        <v>78</v>
      </c>
      <c r="Q4" s="68" t="s">
        <v>76</v>
      </c>
      <c r="R4" s="122"/>
      <c r="S4" s="118"/>
      <c r="T4" s="116"/>
    </row>
    <row r="5" spans="1:20" s="93" customFormat="1" ht="38.1" customHeight="1">
      <c r="A5" s="69" t="str">
        <f t="shared" ref="A5" si="0">B5&amp;C5&amp;D5&amp;E5</f>
        <v>L003</v>
      </c>
      <c r="B5" s="70"/>
      <c r="C5" s="79"/>
      <c r="D5" s="126"/>
      <c r="E5" s="127" t="s">
        <v>57</v>
      </c>
      <c r="F5" s="128" t="s">
        <v>84</v>
      </c>
      <c r="G5" s="87" t="s">
        <v>85</v>
      </c>
      <c r="H5" s="129" t="s">
        <v>56</v>
      </c>
      <c r="I5" s="84">
        <v>0.5</v>
      </c>
      <c r="J5" s="130"/>
      <c r="K5" s="81">
        <f>I5*J5</f>
        <v>0</v>
      </c>
      <c r="L5" s="83">
        <v>224490</v>
      </c>
      <c r="M5" s="81">
        <f>I5*L5</f>
        <v>112245</v>
      </c>
      <c r="N5" s="82"/>
      <c r="O5" s="81">
        <f t="shared" ref="O5:O6" si="1">N5*I5*$O$2</f>
        <v>0</v>
      </c>
      <c r="P5" s="82"/>
      <c r="Q5" s="81">
        <f t="shared" ref="Q5:Q6" si="2">P5*I5*$Q$2</f>
        <v>0</v>
      </c>
      <c r="R5" s="71">
        <f t="shared" ref="R5:R6" si="3">SUM(K5+M5)+O5+Q5</f>
        <v>112245</v>
      </c>
      <c r="S5" s="131"/>
      <c r="T5" s="132"/>
    </row>
    <row r="6" spans="1:20" s="93" customFormat="1" ht="38.1" customHeight="1">
      <c r="A6" s="69">
        <v>999999</v>
      </c>
      <c r="B6" s="70"/>
      <c r="C6" s="79"/>
      <c r="D6" s="126"/>
      <c r="E6" s="70"/>
      <c r="F6" s="128" t="s">
        <v>86</v>
      </c>
      <c r="G6" s="133" t="s">
        <v>87</v>
      </c>
      <c r="H6" s="129" t="s">
        <v>88</v>
      </c>
      <c r="I6" s="84">
        <v>1</v>
      </c>
      <c r="J6" s="130">
        <v>500000</v>
      </c>
      <c r="K6" s="81">
        <f>I6*J6</f>
        <v>500000</v>
      </c>
      <c r="L6" s="83"/>
      <c r="M6" s="81">
        <f t="shared" ref="M6" si="4">(L6*I6)*$M$2</f>
        <v>0</v>
      </c>
      <c r="N6" s="82"/>
      <c r="O6" s="81">
        <f t="shared" si="1"/>
        <v>0</v>
      </c>
      <c r="P6" s="82"/>
      <c r="Q6" s="81">
        <f t="shared" si="2"/>
        <v>0</v>
      </c>
      <c r="R6" s="71">
        <f t="shared" si="3"/>
        <v>500000</v>
      </c>
      <c r="S6" s="131"/>
      <c r="T6" s="132"/>
    </row>
    <row r="7" spans="1:20" s="95" customFormat="1" ht="38.1" customHeight="1">
      <c r="A7" s="94"/>
      <c r="F7" s="88"/>
      <c r="G7" s="88"/>
      <c r="K7" s="96">
        <f>SUM(K5:K6)</f>
        <v>500000</v>
      </c>
      <c r="L7" s="97"/>
      <c r="M7" s="96">
        <f>SUM(M5:M6)</f>
        <v>112245</v>
      </c>
      <c r="N7" s="97"/>
      <c r="O7" s="96">
        <f>SUM(O5:O6)</f>
        <v>0</v>
      </c>
      <c r="P7" s="97"/>
      <c r="Q7" s="96">
        <f>SUM(Q5:Q6)</f>
        <v>0</v>
      </c>
      <c r="R7" s="98">
        <f>SUM(R5:R6)</f>
        <v>612245</v>
      </c>
      <c r="S7" s="72"/>
    </row>
    <row r="11" spans="1:20" ht="38.1" customHeight="1">
      <c r="M11" s="10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1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317C-2F0C-48C0-9713-DEC224E244E6}">
  <sheetPr>
    <pageSetUpPr fitToPage="1"/>
  </sheetPr>
  <dimension ref="G1:P1"/>
  <sheetViews>
    <sheetView topLeftCell="A4" zoomScale="130" zoomScaleNormal="130" zoomScaleSheetLayoutView="85" workbookViewId="0">
      <selection activeCell="F24" sqref="F24"/>
    </sheetView>
  </sheetViews>
  <sheetFormatPr defaultColWidth="9" defaultRowHeight="13.5"/>
  <cols>
    <col min="1" max="1" width="11.5" style="134" bestFit="1" customWidth="1"/>
    <col min="2" max="2" width="17.875" style="134" customWidth="1"/>
    <col min="3" max="3" width="14.625" style="134" customWidth="1"/>
    <col min="4" max="4" width="10.875" style="134" customWidth="1"/>
    <col min="5" max="5" width="12" style="134" customWidth="1"/>
    <col min="6" max="6" width="10.625" style="134" customWidth="1"/>
    <col min="7" max="7" width="13.625" style="135" customWidth="1"/>
    <col min="8" max="8" width="9.625" style="134" customWidth="1"/>
    <col min="9" max="9" width="13.625" style="134" customWidth="1"/>
    <col min="10" max="10" width="12.75" style="134" customWidth="1"/>
    <col min="11" max="11" width="9.25" style="134" customWidth="1"/>
    <col min="12" max="12" width="13.625" style="135" customWidth="1"/>
    <col min="13" max="13" width="9.625" style="134" customWidth="1"/>
    <col min="14" max="14" width="13.625" style="135" customWidth="1"/>
    <col min="15" max="15" width="19.75" style="136" bestFit="1" customWidth="1"/>
    <col min="16" max="16" width="12.25" style="136" bestFit="1" customWidth="1"/>
    <col min="17" max="16384" width="9" style="134"/>
  </cols>
  <sheetData/>
  <phoneticPr fontId="11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48F0-FEF4-4C9B-88D7-5A6688EE31EF}">
  <sheetPr>
    <pageSetUpPr fitToPage="1"/>
  </sheetPr>
  <dimension ref="A1:R2"/>
  <sheetViews>
    <sheetView workbookViewId="0">
      <selection activeCell="D38" sqref="D38"/>
    </sheetView>
  </sheetViews>
  <sheetFormatPr defaultColWidth="9" defaultRowHeight="13.5"/>
  <cols>
    <col min="1" max="1" width="11.125" style="80" customWidth="1"/>
    <col min="2" max="2" width="13.375" style="80" customWidth="1"/>
    <col min="3" max="3" width="38.75" style="80" customWidth="1"/>
    <col min="4" max="4" width="28.75" style="80" customWidth="1"/>
    <col min="5" max="5" width="5" style="80" customWidth="1"/>
    <col min="6" max="6" width="6.25" style="80" customWidth="1"/>
    <col min="7" max="7" width="10" style="80" customWidth="1"/>
    <col min="8" max="8" width="11.875" style="80" customWidth="1"/>
    <col min="9" max="9" width="10" style="80" customWidth="1"/>
    <col min="10" max="10" width="11.875" style="80" customWidth="1"/>
    <col min="11" max="11" width="10" style="80" customWidth="1"/>
    <col min="12" max="12" width="11.875" style="80" customWidth="1"/>
    <col min="13" max="13" width="10" style="80" customWidth="1"/>
    <col min="14" max="14" width="11.875" style="80" customWidth="1"/>
    <col min="15" max="15" width="9.125" style="80" customWidth="1"/>
    <col min="16" max="16" width="11.5" style="80" customWidth="1"/>
    <col min="17" max="17" width="11.75" style="80" customWidth="1"/>
    <col min="18" max="18" width="17.875" style="80" customWidth="1"/>
    <col min="19" max="16384" width="9" style="80"/>
  </cols>
  <sheetData>
    <row r="1" spans="1:18" ht="18" customHeight="1">
      <c r="A1" s="73" t="s">
        <v>89</v>
      </c>
      <c r="B1" s="137" t="s">
        <v>90</v>
      </c>
      <c r="C1" s="138" t="s">
        <v>91</v>
      </c>
      <c r="D1" s="138" t="s">
        <v>92</v>
      </c>
      <c r="E1" s="138" t="s">
        <v>61</v>
      </c>
      <c r="F1" s="138" t="s">
        <v>5</v>
      </c>
      <c r="G1" s="137" t="s">
        <v>93</v>
      </c>
      <c r="H1" s="137" t="s">
        <v>94</v>
      </c>
      <c r="I1" s="137" t="s">
        <v>95</v>
      </c>
      <c r="J1" s="137" t="s">
        <v>96</v>
      </c>
      <c r="K1" s="137" t="s">
        <v>97</v>
      </c>
      <c r="L1" s="137" t="s">
        <v>98</v>
      </c>
      <c r="M1" s="137" t="s">
        <v>99</v>
      </c>
      <c r="N1" s="137" t="s">
        <v>100</v>
      </c>
      <c r="O1" s="137" t="s">
        <v>101</v>
      </c>
      <c r="P1" s="137" t="s">
        <v>102</v>
      </c>
      <c r="Q1" s="137" t="s">
        <v>103</v>
      </c>
      <c r="R1" s="137" t="s">
        <v>104</v>
      </c>
    </row>
    <row r="2" spans="1:18">
      <c r="A2" s="62">
        <v>999999</v>
      </c>
      <c r="B2" s="62" t="s">
        <v>105</v>
      </c>
      <c r="C2" s="62" t="s">
        <v>86</v>
      </c>
      <c r="D2" s="62" t="s">
        <v>106</v>
      </c>
      <c r="E2" s="62" t="s">
        <v>88</v>
      </c>
      <c r="F2" s="139">
        <v>1</v>
      </c>
      <c r="G2" s="140">
        <v>500000</v>
      </c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</sheetData>
  <phoneticPr fontId="11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3"/>
  <sheetViews>
    <sheetView showGridLines="0" zoomScaleNormal="100" workbookViewId="0">
      <selection activeCell="D40" sqref="D40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80"/>
  </cols>
  <sheetData>
    <row r="1" spans="1:6" ht="18" customHeight="1">
      <c r="A1" s="73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</row>
    <row r="2" spans="1:6">
      <c r="A2" s="74" t="str">
        <f>'내역서(표준단가)'!A5</f>
        <v>L003</v>
      </c>
      <c r="B2" s="75">
        <f>'내역서(표준단가)'!B5</f>
        <v>0</v>
      </c>
      <c r="C2" s="75">
        <f>'내역서(표준단가)'!C5</f>
        <v>0</v>
      </c>
      <c r="D2" s="75">
        <f>'내역서(표준단가)'!D5</f>
        <v>0</v>
      </c>
      <c r="E2" s="75" t="str">
        <f>'내역서(표준단가)'!E5</f>
        <v>L003</v>
      </c>
      <c r="F2" s="76">
        <f>'내역서(표준단가)'!I5</f>
        <v>0.5</v>
      </c>
    </row>
    <row r="3" spans="1:6">
      <c r="A3" s="74">
        <f>'내역서(표준단가)'!A6</f>
        <v>999999</v>
      </c>
      <c r="B3" s="75">
        <f>'내역서(표준단가)'!B6</f>
        <v>0</v>
      </c>
      <c r="C3" s="75">
        <f>'내역서(표준단가)'!C6</f>
        <v>0</v>
      </c>
      <c r="D3" s="75">
        <f>'내역서(표준단가)'!D6</f>
        <v>0</v>
      </c>
      <c r="E3" s="75">
        <f>'내역서(표준단가)'!E6</f>
        <v>0</v>
      </c>
      <c r="F3" s="76">
        <f>'내역서(표준단가)'!I6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2026-01-20T04:06:55Z</dcterms:created>
  <dcterms:modified xsi:type="dcterms:W3CDTF">2026-02-25T01:07:55Z</dcterms:modified>
</cp:coreProperties>
</file>
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5 사택 9-103 씽크대 상하부장 문짝교체\01 자료\"/>
    </mc:Choice>
  </mc:AlternateContent>
  <xr:revisionPtr revIDLastSave="0" documentId="13_ncr:1_{09C81CA1-AE0E-4A55-AD6F-2FDE1BAEEB6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E2" i="1"/>
  <c r="D2" i="1"/>
  <c r="C2" i="1"/>
  <c r="B2" i="1"/>
  <c r="U5" i="4"/>
  <c r="S5" i="4"/>
  <c r="O5" i="4"/>
  <c r="V5" i="4" s="1"/>
  <c r="A5" i="4"/>
  <c r="A2" i="1" s="1"/>
  <c r="U6" i="4"/>
  <c r="S6" i="4"/>
  <c r="Q6" i="4"/>
  <c r="O6" i="4"/>
  <c r="J28" i="12" l="1"/>
  <c r="J20" i="12" s="1"/>
  <c r="V6" i="4"/>
  <c r="U7" i="4"/>
  <c r="Q7" i="4"/>
  <c r="J30" i="12" l="1"/>
  <c r="S7" i="4"/>
  <c r="M32" i="12" l="1"/>
  <c r="B15" i="12" s="1"/>
  <c r="V7" i="4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<sst xmlns="http://schemas.openxmlformats.org/spreadsheetml/2006/main" count="143" uniqueCount="121">
  <si>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</si>
  <si>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</si>
  <si>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</si>
  <si>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</si>
  <si>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</si>
  <si>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</si>
  <si>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</si>
  <si>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</si>
  <si>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</si>
  <si>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</si>
  <si>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</si>
  <si>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</si>
  <si>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</si>
  <si>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</si>
  <si>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</si>
  <si>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</si>
  <si>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</si>
  <si>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</si>
  <si>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</si>
  <si>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</si>
  <si>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</si>
  <si>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</si>
  <si>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</si>
  <si>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</si>
  <si>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</si>
  <si>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</si>
  <si>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</si>
  <si>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</si>
  <si>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</si>
  <si>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</si>
  <si>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</si>
  <si>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</si>
  <si>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</si>
  <si>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</si>
  <si>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</si>
  <si>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</si>
  <si>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</si>
  <si>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</si>
  <si>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</si>
  <si>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</si>
  <si>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</si>
  <si>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</si>
  <si>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</si>
  <si>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</si>
  <si>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</si>
  <si>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</si>
  <si>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</si>
  <si>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</si>
  <si>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</si>
  <si>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</si>
  <si>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9동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</si>
  <si>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</si>
  <si>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</si>
  <si>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</si>
  <si>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</si>
  <si>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</si>
  <si>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</si>
  <si>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</si>
  <si>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</si>
  <si>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</si>
  <si>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</si>
  <si>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</si>
  <si>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</si>
  <si>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</si>
  <si>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</si>
  <si>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</si>
  <si>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</si>
  <si>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</si>
  <si>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</si>
  <si>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</si>
  <si>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</si>
  <si>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</si>
  <si>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</si>
  <si>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</si>
  <si>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</si>
  <si>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</si>
  <si>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</si>
  <si>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</si>
  <si>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</si>
  <si>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</si>
  <si>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</si>
  <si>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</si>
  <si>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</si>
  <si>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</si>
  <si>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</si>
  <si>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</si>
  <si>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</si>
  <si>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</si>
  <si>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</si>
  <si>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</si>
  <si>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</si>
  <si>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</si>
  <si>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</si>
  <si>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</si>
  <si>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</si>
  <si>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</si>
  <si>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</si>
  <si>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</si>
  <si>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</si>
  <si>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</si>
  <si>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</si>
  <si>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</si>
  <si>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</si>
  <si>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</si>
  <si>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</si>
  <si>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</si>
  <si>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</si>
  <si>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</si>
  <si>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</si>
  <si>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</si>
  <si>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</si>
  <si>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</si>
  <si>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</si>
  <si>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</si>
  <si>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</si>
  <si>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</si>
  <si>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</si>
  <si>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</si>
  <si>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</si>
  <si>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9-103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</si>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</sst>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E584FF69-06C5-4232-95F1-E7AF6D2D79D8}"/>
    <cellStyle name="쉼표 [0] 2 84" xfId="25" xr:uid="{19EF8A1C-4EF4-46DA-9DDD-27E781CFF616}"/>
    <cellStyle name="쉼표 [0] 3" xfId="14" xr:uid="{8F7BE219-40E1-4BBB-A9BD-02188B74B2A3}"/>
    <cellStyle name="쉼표 [0] 4" xfId="22" xr:uid="{25B01A68-72CB-4D85-A334-ED7749C03A13}"/>
    <cellStyle name="쉼표 [0] 5" xfId="24" xr:uid="{CA4B32AF-0A4D-4701-AB3B-45DBCD3C3FF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D30303CE-9379-4293-881D-3003DD5093C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47A5159B-FA3C-4C88-BEF3-C051B3AE6638}"/>
    <cellStyle name="표준_P456 공장 및 복지동 전면 유리창 청소건 라상혁님_1129(최종)" xfId="21" xr:uid="{8CA6D049-33A2-47A7-998A-737F78BDCB7F}"/>
    <cellStyle name="표준_S&amp;D_MAIN VALVE_최빈_2" xfId="18" xr:uid="{77726649-7A3D-4358-A4B7-5882FFD0E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89DC6E-C63C-44DE-841F-80DA70183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107497</xdr:rowOff>
    </xdr:from>
    <xdr:to>
      <xdr:col>14</xdr:col>
      <xdr:colOff>266701</xdr:colOff>
      <xdr:row>35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36147"/>
          <a:ext cx="1346835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_9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333375</xdr:colOff>
      <xdr:row>5</xdr:row>
      <xdr:rowOff>200024</xdr:rowOff>
    </xdr:from>
    <xdr:to>
      <xdr:col>4</xdr:col>
      <xdr:colOff>371475</xdr:colOff>
      <xdr:row>39</xdr:row>
      <xdr:rowOff>21961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FE6A2C-F6E6-460F-8345-FB13F1E6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47774"/>
          <a:ext cx="4219575" cy="598388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5</xdr:row>
      <xdr:rowOff>207890</xdr:rowOff>
    </xdr:from>
    <xdr:to>
      <xdr:col>9</xdr:col>
      <xdr:colOff>314325</xdr:colOff>
      <xdr:row>39</xdr:row>
      <xdr:rowOff>18725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20532B3-1197-4DEA-80B8-AC395ACD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1255640"/>
          <a:ext cx="4257675" cy="5982303"/>
        </a:xfrm>
        <a:prstGeom prst="rect">
          <a:avLst/>
        </a:prstGeom>
      </xdr:spPr>
    </xdr:pic>
    <xdr:clientData/>
  </xdr:twoCellAnchor>
  <xdr:twoCellAnchor editAs="oneCell">
    <xdr:from>
      <xdr:col>9</xdr:col>
      <xdr:colOff>447674</xdr:colOff>
      <xdr:row>6</xdr:row>
      <xdr:rowOff>19050</xdr:rowOff>
    </xdr:from>
    <xdr:to>
      <xdr:col>14</xdr:col>
      <xdr:colOff>151112</xdr:colOff>
      <xdr:row>38</xdr:row>
      <xdr:rowOff>145072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AF797B-B43F-4302-A22C-A9DB925F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49" y="1276350"/>
          <a:ext cx="4189713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162A-4678-4B40-BEA9-99428E12FFE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3" t="s">
        <v>55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 ht="16.5" customHeight="1" x14ac:dyDescent="0.3">
      <c r="A4" s="58" t="s">
        <v>56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120</v>
      </c>
      <c r="C5" s="119"/>
      <c r="D5" s="119"/>
      <c r="E5" s="119"/>
      <c r="F5" s="119"/>
      <c r="G5" s="64"/>
      <c r="H5" s="64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06" t="s">
        <v>57</v>
      </c>
      <c r="B7" s="207"/>
      <c r="C7" s="208"/>
      <c r="D7" s="120">
        <v>2025</v>
      </c>
      <c r="E7" s="71" t="s">
        <v>58</v>
      </c>
      <c r="F7" s="71">
        <v>7</v>
      </c>
      <c r="G7" s="71" t="s">
        <v>59</v>
      </c>
      <c r="H7" s="71">
        <v>1</v>
      </c>
      <c r="I7" s="71" t="s">
        <v>60</v>
      </c>
      <c r="J7" s="72"/>
      <c r="K7" s="209" t="s">
        <v>61</v>
      </c>
      <c r="L7" s="73" t="s">
        <v>62</v>
      </c>
      <c r="M7" s="73" t="s">
        <v>63</v>
      </c>
      <c r="N7" s="73" t="s">
        <v>64</v>
      </c>
      <c r="O7" s="74" t="s">
        <v>65</v>
      </c>
    </row>
    <row r="8" spans="1:15" ht="23.25" customHeight="1" x14ac:dyDescent="0.3">
      <c r="A8" s="212" t="s">
        <v>66</v>
      </c>
      <c r="B8" s="213"/>
      <c r="C8" s="214"/>
      <c r="D8" s="215" t="s">
        <v>67</v>
      </c>
      <c r="E8" s="216"/>
      <c r="F8" s="216"/>
      <c r="G8" s="217"/>
      <c r="H8" s="218" t="s">
        <v>68</v>
      </c>
      <c r="I8" s="216"/>
      <c r="J8" s="219"/>
      <c r="K8" s="210"/>
      <c r="L8" s="75" t="s">
        <v>69</v>
      </c>
      <c r="M8" s="75" t="s">
        <v>70</v>
      </c>
      <c r="N8" s="75" t="s">
        <v>71</v>
      </c>
      <c r="O8" s="76" t="s">
        <v>72</v>
      </c>
    </row>
    <row r="9" spans="1:15" ht="23.25" customHeight="1" x14ac:dyDescent="0.3">
      <c r="A9" s="212" t="s">
        <v>73</v>
      </c>
      <c r="B9" s="213"/>
      <c r="C9" s="214"/>
      <c r="D9" s="220" t="s">
        <v>74</v>
      </c>
      <c r="E9" s="221"/>
      <c r="F9" s="221"/>
      <c r="G9" s="221"/>
      <c r="H9" s="221"/>
      <c r="I9" s="221"/>
      <c r="J9" s="222"/>
      <c r="K9" s="210"/>
      <c r="L9" s="75" t="s">
        <v>75</v>
      </c>
      <c r="M9" s="223" t="s">
        <v>76</v>
      </c>
      <c r="N9" s="213"/>
      <c r="O9" s="214"/>
    </row>
    <row r="10" spans="1:15" ht="23.25" customHeight="1" thickBot="1" x14ac:dyDescent="0.35">
      <c r="A10" s="224" t="s">
        <v>77</v>
      </c>
      <c r="B10" s="225"/>
      <c r="C10" s="226"/>
      <c r="D10" s="227" t="s">
        <v>78</v>
      </c>
      <c r="E10" s="228"/>
      <c r="F10" s="228"/>
      <c r="G10" s="228"/>
      <c r="H10" s="228"/>
      <c r="I10" s="228"/>
      <c r="J10" s="229"/>
      <c r="K10" s="211"/>
      <c r="L10" s="77" t="s">
        <v>79</v>
      </c>
      <c r="M10" s="77" t="s">
        <v>80</v>
      </c>
      <c r="N10" s="77" t="s">
        <v>81</v>
      </c>
      <c r="O10" s="78" t="s">
        <v>82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199" t="s">
        <v>119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86" t="s">
        <v>83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2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3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4"/>
      <c r="L16" s="184"/>
      <c r="M16" s="184"/>
      <c r="N16" s="184"/>
      <c r="O16" s="185"/>
    </row>
    <row r="17" spans="1:17" ht="27.75" customHeight="1" thickBot="1" x14ac:dyDescent="0.35">
      <c r="A17" s="87" t="s">
        <v>84</v>
      </c>
      <c r="B17" s="192" t="s">
        <v>85</v>
      </c>
      <c r="C17" s="193"/>
      <c r="D17" s="193"/>
      <c r="E17" s="193"/>
      <c r="F17" s="193"/>
      <c r="G17" s="194"/>
      <c r="H17" s="88" t="s">
        <v>86</v>
      </c>
      <c r="I17" s="89" t="s">
        <v>87</v>
      </c>
      <c r="J17" s="195" t="s">
        <v>88</v>
      </c>
      <c r="K17" s="196"/>
      <c r="L17" s="196"/>
      <c r="M17" s="197"/>
      <c r="N17" s="192" t="s">
        <v>89</v>
      </c>
      <c r="O17" s="198"/>
    </row>
    <row r="18" spans="1:17" ht="28.5" customHeight="1" x14ac:dyDescent="0.3">
      <c r="A18" s="90">
        <v>1</v>
      </c>
      <c r="B18" s="186" t="s">
        <v>33</v>
      </c>
      <c r="C18" s="187"/>
      <c r="D18" s="187"/>
      <c r="E18" s="187"/>
      <c r="F18" s="187"/>
      <c r="G18" s="188"/>
      <c r="H18" s="121">
        <v>1</v>
      </c>
      <c r="I18" s="122" t="s">
        <v>6</v>
      </c>
      <c r="J18" s="189">
        <f>IFERROR(LOOKUP(2, 1/(TRIM('내역서(표준단가)'!O4:O100)&lt;&gt;""), '내역서(표준단가)'!O4:O100), "-")</f>
        <v>850000</v>
      </c>
      <c r="K18" s="189"/>
      <c r="L18" s="189"/>
      <c r="M18" s="189"/>
      <c r="N18" s="190"/>
      <c r="O18" s="191"/>
    </row>
    <row r="19" spans="1:17" ht="28.5" customHeight="1" x14ac:dyDescent="0.3">
      <c r="A19" s="91">
        <v>2</v>
      </c>
      <c r="B19" s="169" t="s">
        <v>34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1/(TRIM('내역서(표준단가)'!Q4:Q100)&lt;&gt;""), '내역서(표준단가)'!Q4:Q100), "-")</f>
        <v>219321</v>
      </c>
      <c r="K19" s="173"/>
      <c r="L19" s="173"/>
      <c r="M19" s="174"/>
      <c r="N19" s="175"/>
      <c r="O19" s="176"/>
    </row>
    <row r="20" spans="1:17" ht="28.5" customHeight="1" x14ac:dyDescent="0.3">
      <c r="A20" s="91">
        <v>3</v>
      </c>
      <c r="B20" s="169" t="s">
        <v>90</v>
      </c>
      <c r="C20" s="170"/>
      <c r="D20" s="170"/>
      <c r="E20" s="170"/>
      <c r="F20" s="170"/>
      <c r="G20" s="171"/>
      <c r="H20" s="92">
        <v>1</v>
      </c>
      <c r="I20" s="92" t="s">
        <v>6</v>
      </c>
      <c r="J20" s="177">
        <f>IFERROR(SUM(J21:M29),"-")</f>
        <v>61930.080613774997</v>
      </c>
      <c r="K20" s="178"/>
      <c r="L20" s="178"/>
      <c r="M20" s="179"/>
      <c r="N20" s="180"/>
      <c r="O20" s="181"/>
      <c r="P20" s="93"/>
    </row>
    <row r="21" spans="1:17" ht="28.5" customHeight="1" x14ac:dyDescent="0.3">
      <c r="A21" s="90"/>
      <c r="B21" s="94"/>
      <c r="C21" s="161" t="s">
        <v>91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92</v>
      </c>
      <c r="O21" s="168"/>
    </row>
    <row r="22" spans="1:17" ht="28.5" customHeight="1" x14ac:dyDescent="0.3">
      <c r="A22" s="90"/>
      <c r="B22" s="94"/>
      <c r="C22" s="155" t="s">
        <v>93</v>
      </c>
      <c r="D22" s="156"/>
      <c r="E22" s="156"/>
      <c r="F22" s="156"/>
      <c r="G22" s="157"/>
      <c r="H22" s="95">
        <v>3.11</v>
      </c>
      <c r="I22" s="95" t="s">
        <v>94</v>
      </c>
      <c r="J22" s="158">
        <f>IFERROR((J18+J19)*H22%,"-")</f>
        <v>33255.883099999999</v>
      </c>
      <c r="K22" s="159"/>
      <c r="L22" s="159"/>
      <c r="M22" s="160"/>
      <c r="N22" s="151" t="s">
        <v>95</v>
      </c>
      <c r="O22" s="152"/>
    </row>
    <row r="23" spans="1:17" ht="28.5" customHeight="1" x14ac:dyDescent="0.3">
      <c r="A23" s="90"/>
      <c r="B23" s="94"/>
      <c r="C23" s="155" t="s">
        <v>96</v>
      </c>
      <c r="D23" s="156"/>
      <c r="E23" s="156"/>
      <c r="F23" s="156"/>
      <c r="G23" s="157"/>
      <c r="H23" s="95">
        <v>3.56</v>
      </c>
      <c r="I23" s="95" t="s">
        <v>97</v>
      </c>
      <c r="J23" s="158">
        <f>IFERROR(J19*H23%,"-")</f>
        <v>7807.8275999999996</v>
      </c>
      <c r="K23" s="159"/>
      <c r="L23" s="159"/>
      <c r="M23" s="160"/>
      <c r="N23" s="151" t="s">
        <v>98</v>
      </c>
      <c r="O23" s="152"/>
    </row>
    <row r="24" spans="1:17" ht="28.5" customHeight="1" x14ac:dyDescent="0.3">
      <c r="A24" s="90"/>
      <c r="B24" s="94"/>
      <c r="C24" s="155" t="s">
        <v>99</v>
      </c>
      <c r="D24" s="156"/>
      <c r="E24" s="156"/>
      <c r="F24" s="156"/>
      <c r="G24" s="157"/>
      <c r="H24" s="95">
        <v>1.01</v>
      </c>
      <c r="I24" s="95" t="s">
        <v>97</v>
      </c>
      <c r="J24" s="158">
        <f>IFERROR(J19*H24%,"-")</f>
        <v>2215.1421</v>
      </c>
      <c r="K24" s="159"/>
      <c r="L24" s="159"/>
      <c r="M24" s="160"/>
      <c r="N24" s="151" t="s">
        <v>100</v>
      </c>
      <c r="O24" s="152"/>
    </row>
    <row r="25" spans="1:17" ht="28.5" customHeight="1" x14ac:dyDescent="0.3">
      <c r="A25" s="90"/>
      <c r="B25" s="94"/>
      <c r="C25" s="155" t="s">
        <v>101</v>
      </c>
      <c r="D25" s="156"/>
      <c r="E25" s="156"/>
      <c r="F25" s="156"/>
      <c r="G25" s="157"/>
      <c r="H25" s="96">
        <v>3.5449999999999999</v>
      </c>
      <c r="I25" s="95" t="s">
        <v>97</v>
      </c>
      <c r="J25" s="158">
        <f>IFERROR(J19*H25%,"-")</f>
        <v>7774.9294500000005</v>
      </c>
      <c r="K25" s="159"/>
      <c r="L25" s="159"/>
      <c r="M25" s="160"/>
      <c r="N25" s="151" t="s">
        <v>102</v>
      </c>
      <c r="O25" s="152"/>
      <c r="Q25" s="93"/>
    </row>
    <row r="26" spans="1:17" ht="28.5" customHeight="1" x14ac:dyDescent="0.3">
      <c r="A26" s="90"/>
      <c r="B26" s="94"/>
      <c r="C26" s="155" t="s">
        <v>103</v>
      </c>
      <c r="D26" s="156"/>
      <c r="E26" s="156"/>
      <c r="F26" s="156"/>
      <c r="G26" s="157"/>
      <c r="H26" s="95">
        <v>4.5</v>
      </c>
      <c r="I26" s="95" t="s">
        <v>97</v>
      </c>
      <c r="J26" s="158">
        <f>IFERROR(J19*H26%,"-")</f>
        <v>9869.4449999999997</v>
      </c>
      <c r="K26" s="159"/>
      <c r="L26" s="159"/>
      <c r="M26" s="160"/>
      <c r="N26" s="151" t="s">
        <v>104</v>
      </c>
      <c r="O26" s="152"/>
      <c r="Q26" s="97"/>
    </row>
    <row r="27" spans="1:17" ht="28.5" customHeight="1" x14ac:dyDescent="0.3">
      <c r="A27" s="90"/>
      <c r="B27" s="94"/>
      <c r="C27" s="145" t="s">
        <v>105</v>
      </c>
      <c r="D27" s="146"/>
      <c r="E27" s="146"/>
      <c r="F27" s="146"/>
      <c r="G27" s="147"/>
      <c r="H27" s="98">
        <v>12.95</v>
      </c>
      <c r="I27" s="99" t="s">
        <v>97</v>
      </c>
      <c r="J27" s="148">
        <f>IFERROR($H$27*J25%,"-")</f>
        <v>1006.853363775</v>
      </c>
      <c r="K27" s="149"/>
      <c r="L27" s="149"/>
      <c r="M27" s="150"/>
      <c r="N27" s="151" t="s">
        <v>106</v>
      </c>
      <c r="O27" s="152"/>
    </row>
    <row r="28" spans="1:17" ht="28.5" customHeight="1" x14ac:dyDescent="0.3">
      <c r="A28" s="90"/>
      <c r="B28" s="94"/>
      <c r="C28" s="145" t="s">
        <v>107</v>
      </c>
      <c r="D28" s="146"/>
      <c r="E28" s="146"/>
      <c r="F28" s="146"/>
      <c r="G28" s="147"/>
      <c r="H28" s="98">
        <v>8.1000000000000003E-2</v>
      </c>
      <c r="I28" s="99" t="s">
        <v>97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108</v>
      </c>
      <c r="O28" s="154"/>
    </row>
    <row r="29" spans="1:17" ht="28.5" customHeight="1" x14ac:dyDescent="0.3">
      <c r="A29" s="100"/>
      <c r="B29" s="101"/>
      <c r="C29" s="125" t="s">
        <v>109</v>
      </c>
      <c r="D29" s="126"/>
      <c r="E29" s="126"/>
      <c r="F29" s="126"/>
      <c r="G29" s="127"/>
      <c r="H29" s="102">
        <v>1</v>
      </c>
      <c r="I29" s="103" t="s">
        <v>110</v>
      </c>
      <c r="J29" s="128">
        <f>34*0</f>
        <v>0</v>
      </c>
      <c r="K29" s="129"/>
      <c r="L29" s="129"/>
      <c r="M29" s="130"/>
      <c r="N29" s="131" t="s">
        <v>111</v>
      </c>
      <c r="O29" s="132"/>
    </row>
    <row r="30" spans="1:17" ht="28.5" customHeight="1" x14ac:dyDescent="0.3">
      <c r="A30" s="100">
        <v>4</v>
      </c>
      <c r="B30" s="101"/>
      <c r="C30" s="125" t="s">
        <v>112</v>
      </c>
      <c r="D30" s="126"/>
      <c r="E30" s="126"/>
      <c r="F30" s="126"/>
      <c r="G30" s="127"/>
      <c r="H30" s="103">
        <v>5</v>
      </c>
      <c r="I30" s="104" t="s">
        <v>113</v>
      </c>
      <c r="J30" s="138">
        <f>IFERROR(IF(ISNUMBER(H30), SUM(J18:M20) * (H30 / 100), "-"), "-")</f>
        <v>56562.554030688749</v>
      </c>
      <c r="K30" s="139"/>
      <c r="L30" s="139"/>
      <c r="M30" s="140"/>
      <c r="N30" s="141" t="s">
        <v>114</v>
      </c>
      <c r="O30" s="142"/>
    </row>
    <row r="31" spans="1:17" ht="28.5" customHeight="1" thickBot="1" x14ac:dyDescent="0.35">
      <c r="A31" s="100">
        <v>5</v>
      </c>
      <c r="B31" s="101"/>
      <c r="C31" s="125" t="s">
        <v>115</v>
      </c>
      <c r="D31" s="126"/>
      <c r="E31" s="126"/>
      <c r="F31" s="126"/>
      <c r="G31" s="127"/>
      <c r="H31" s="103">
        <v>7.5</v>
      </c>
      <c r="I31" s="104" t="s">
        <v>97</v>
      </c>
      <c r="J31" s="128">
        <f>IFERROR(SUM(J18:M20, J30) * (H31 / 100), "-")+-46024</f>
        <v>43062.022598334777</v>
      </c>
      <c r="K31" s="129"/>
      <c r="L31" s="129"/>
      <c r="M31" s="130"/>
      <c r="N31" s="143" t="s">
        <v>116</v>
      </c>
      <c r="O31" s="144"/>
      <c r="Q31" s="105"/>
    </row>
    <row r="32" spans="1:17" ht="28.5" customHeight="1" thickBot="1" x14ac:dyDescent="0.35">
      <c r="A32" s="133" t="s">
        <v>117</v>
      </c>
      <c r="B32" s="134"/>
      <c r="C32" s="134"/>
      <c r="D32" s="134"/>
      <c r="E32" s="134"/>
      <c r="F32" s="134"/>
      <c r="G32" s="134"/>
      <c r="H32" s="134"/>
      <c r="I32" s="135"/>
      <c r="J32" s="106"/>
      <c r="K32" s="107"/>
      <c r="L32" s="107"/>
      <c r="M32" s="108">
        <f>IFERROR(ROUNDDOWN(SUM(J18:M20)+J30+J31,0),"-")</f>
        <v>1230875</v>
      </c>
      <c r="N32" s="136"/>
      <c r="O32" s="137"/>
      <c r="P32" s="109"/>
    </row>
    <row r="33" spans="1:15" x14ac:dyDescent="0.3">
      <c r="A33" s="110" t="s">
        <v>118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0"/>
      <c r="B1" s="230"/>
      <c r="C1" s="230"/>
      <c r="D1" s="230"/>
      <c r="E1" s="230"/>
      <c r="F1" s="230"/>
      <c r="G1" s="230"/>
      <c r="H1" s="230"/>
      <c r="I1" s="230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0"/>
      <c r="B2" s="230"/>
      <c r="C2" s="230"/>
      <c r="D2" s="230"/>
      <c r="E2" s="230"/>
      <c r="F2" s="230"/>
      <c r="G2" s="230"/>
      <c r="H2" s="230"/>
      <c r="I2" s="230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1" t="s">
        <v>32</v>
      </c>
      <c r="K3" s="241"/>
      <c r="L3" s="239" t="s">
        <v>12</v>
      </c>
      <c r="M3" s="239" t="s">
        <v>5</v>
      </c>
      <c r="N3" s="235" t="s">
        <v>33</v>
      </c>
      <c r="O3" s="235"/>
      <c r="P3" s="235" t="s">
        <v>34</v>
      </c>
      <c r="Q3" s="235"/>
      <c r="R3" s="236" t="s">
        <v>35</v>
      </c>
      <c r="S3" s="236"/>
      <c r="T3" s="236" t="s">
        <v>36</v>
      </c>
      <c r="U3" s="236"/>
      <c r="V3" s="237" t="s">
        <v>37</v>
      </c>
      <c r="W3" s="233" t="s">
        <v>38</v>
      </c>
      <c r="X3" s="231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0"/>
      <c r="M4" s="240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8"/>
      <c r="W4" s="234"/>
      <c r="X4" s="232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30" zoomScaleNormal="130" zoomScaleSheetLayoutView="85" workbookViewId="0">
      <selection activeCell="P28" sqref="P28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G17" sqref="G17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A2" sqref="A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2025-06-30T21:28:42Z</dcterms:modified>
</cp:coreProperties>
</file>
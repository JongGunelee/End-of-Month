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8E1C5B50-0CD0-474B-8FD6-062CDDB23D2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O5" i="4"/>
  <c r="M5" i="4"/>
  <c r="K5" i="4"/>
  <c r="A5" i="4"/>
  <c r="R5" i="4" l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R9" i="4" l="1"/>
  <c r="R6" i="4"/>
  <c r="R7" i="4"/>
  <c r="R8" i="4"/>
  <c r="Q10" i="4" l="1"/>
  <c r="M10" i="4"/>
  <c r="O10" i="4" l="1"/>
  <c r="R10" i="4" l="1"/>
  <c r="F18" i="5" l="1"/>
  <c r="K10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<sst xmlns="http://schemas.openxmlformats.org/spreadsheetml/2006/main" count="121" uniqueCount="100">
  <si>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</si>
  <si>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</si>
  <si>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</si>
  <si>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</si>
  <si>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</si>
  <si>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</si>
  <si>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</si>
  <si>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</si>
  <si>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</si>
  <si>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</si>
  <si>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</si>
  <si>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</si>
  <si>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</si>
  <si>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</si>
  <si>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</si>
  <si>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</si>
  <si>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</si>
  <si>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</si>
  <si>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</si>
  <si>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</si>
  <si>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</si>
  <si>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</si>
  <si>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</si>
  <si>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</si>
  <si>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</si>
  <si>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</si>
  <si>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</si>
  <si>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</si>
  <si>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</si>
  <si>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</si>
  <si>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</si>
  <si>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</si>
  <si>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</si>
  <si>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</si>
  <si>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</si>
  <si>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</si>
  <si>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</si>
  <si>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</si>
  <si>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</si>
  <si>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</si>
  <si>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</si>
  <si>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</si>
  <si>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</si>
  <si>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</si>
  <si>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</si>
  <si>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</si>
  <si>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</si>
  <si>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</si>
  <si>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</si>
  <si>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</si>
  <si>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</si>
  <si>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</si>
  <si>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</si>
  <si>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</si>
  <si>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</si>
  <si>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</si>
  <si>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</si>
  <si>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</si>
  <si>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</si>
  <si>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</si>
  <si>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</si>
  <si>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</si>
  <si>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</si>
  <si>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</si>
  <si>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</si>
  <si>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</si>
  <si>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</si>
  <si>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</si>
  <si>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</si>
  <si>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</si>
  <si>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</si>
  <si>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</si>
  <si>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</si>
  <si>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</si>
  <si>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</si>
  <si>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</si>
  <si>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</si>
  <si>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</si>
  <si>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</si>
  <si>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</si>
  <si>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</si>
  <si>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</si>
  <si>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</si>
  <si>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</si>
  <si>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</si>
  <si>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</si>
  <si>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</si>
  <si>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</si>
  <si>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</si>
  <si>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</si>
  <si>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</si>
  <si>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</si>
  <si>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</si>
  <si>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>L002</t>
    <phoneticPr fontId="10" type="noConversion"/>
  </si>
  <si>
    <t>자재 및 폐기물 반입 반출</t>
    <phoneticPr fontId="10" type="noConversion"/>
  </si>
  <si>
    <t>보통인부, 시중노임단가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</si>
  <si>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</si>
  <si>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</si>
  <si>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뒤베란다 다용도실 단열작업(열반사6t+이보드 23t)</t>
    <phoneticPr fontId="16" type="noConversion"/>
  </si>
  <si>
    <t xml:space="preserve"> 견적일 : 2026년  05월  22일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</si>
</sst>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5" borderId="3" xfId="1" applyNumberFormat="1" applyFont="1" applyFill="1" applyBorder="1" applyAlignment="1">
      <alignment horizontal="center" vertical="center"/>
    </xf>
    <xf numFmtId="185" fontId="21" fillId="5" borderId="3" xfId="20" applyNumberFormat="1" applyFont="1" applyFill="1" applyBorder="1" applyAlignment="1">
      <alignment horizontal="center" vertical="center"/>
    </xf>
    <xf numFmtId="185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5" fontId="21" fillId="12" borderId="3" xfId="32" applyNumberFormat="1" applyFont="1" applyFill="1" applyBorder="1" applyAlignment="1">
      <alignment horizontal="center" vertical="center"/>
    </xf>
    <xf numFmtId="184" fontId="28" fillId="12" borderId="3" xfId="32" applyNumberFormat="1" applyFont="1" applyFill="1" applyBorder="1" applyAlignment="1">
      <alignment horizontal="right" vertical="center"/>
    </xf>
    <xf numFmtId="176" fontId="28" fillId="12" borderId="3" xfId="32" applyFont="1" applyFill="1" applyBorder="1">
      <alignment vertical="center"/>
    </xf>
    <xf numFmtId="183" fontId="28" fillId="12" borderId="3" xfId="31" applyNumberFormat="1" applyFont="1" applyFill="1" applyBorder="1" applyAlignment="1">
      <alignment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6" sqref="L16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46</v>
      </c>
      <c r="B5" s="4"/>
      <c r="C5" s="5"/>
      <c r="D5" s="84"/>
      <c r="E5" s="84"/>
      <c r="F5" s="6" t="s">
        <v>37</v>
      </c>
      <c r="G5" s="7" t="s">
        <v>49</v>
      </c>
      <c r="H5" s="84"/>
    </row>
    <row r="6" spans="1:9" ht="27" customHeight="1">
      <c r="A6" s="84"/>
      <c r="B6" s="84"/>
      <c r="C6" s="84"/>
      <c r="D6" s="84"/>
      <c r="E6" s="84"/>
      <c r="F6" s="8" t="s">
        <v>40</v>
      </c>
      <c r="G6" s="9" t="s">
        <v>50</v>
      </c>
      <c r="H6" s="84"/>
    </row>
    <row r="7" spans="1:9" ht="27" customHeight="1">
      <c r="A7" s="133" t="s">
        <v>98</v>
      </c>
      <c r="B7" s="134"/>
      <c r="C7" s="135"/>
      <c r="D7" s="84"/>
      <c r="E7" s="10"/>
      <c r="F7" s="11" t="s">
        <v>41</v>
      </c>
      <c r="G7" s="9" t="s">
        <v>51</v>
      </c>
      <c r="H7" s="84"/>
    </row>
    <row r="8" spans="1:9" ht="27" customHeight="1">
      <c r="A8" s="84"/>
      <c r="B8" s="84"/>
      <c r="C8" s="84"/>
      <c r="D8" s="84"/>
      <c r="E8" s="84"/>
      <c r="F8" s="8" t="s">
        <v>42</v>
      </c>
      <c r="G8" s="9" t="s">
        <v>52</v>
      </c>
      <c r="H8" s="84"/>
    </row>
    <row r="9" spans="1:9" ht="27" customHeight="1">
      <c r="A9" s="130" t="s">
        <v>99</v>
      </c>
      <c r="B9" s="131"/>
      <c r="C9" s="132"/>
      <c r="D9" s="84"/>
      <c r="E9" s="84"/>
      <c r="F9" s="8" t="s">
        <v>43</v>
      </c>
      <c r="G9" s="9" t="s">
        <v>53</v>
      </c>
      <c r="H9" s="84"/>
    </row>
    <row r="10" spans="1:9" ht="27" customHeight="1">
      <c r="A10" s="84"/>
      <c r="B10" s="84"/>
      <c r="C10" s="84"/>
      <c r="D10" s="84"/>
      <c r="E10" s="84"/>
      <c r="F10" s="12" t="s">
        <v>38</v>
      </c>
      <c r="G10" s="13" t="s">
        <v>54</v>
      </c>
      <c r="H10" s="84"/>
      <c r="I10" s="84"/>
    </row>
    <row r="11" spans="1:9" ht="27" customHeight="1">
      <c r="A11" s="128"/>
      <c r="B11" s="129"/>
      <c r="C11" s="129"/>
      <c r="D11" s="84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구십구만팔천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686532.62654750003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840172.62654750003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20" t="s">
        <v>23</v>
      </c>
      <c r="C21" s="121" t="s">
        <v>96</v>
      </c>
      <c r="D21" s="122">
        <v>1</v>
      </c>
      <c r="E21" s="122" t="s">
        <v>24</v>
      </c>
      <c r="F21" s="123">
        <f>F17*4.75%</f>
        <v>32610.299761006252</v>
      </c>
      <c r="G21" s="35" t="s">
        <v>25</v>
      </c>
    </row>
    <row r="22" spans="1:7" ht="33" customHeight="1">
      <c r="A22" s="29"/>
      <c r="B22" s="124" t="s">
        <v>26</v>
      </c>
      <c r="C22" s="121" t="s">
        <v>97</v>
      </c>
      <c r="D22" s="125">
        <v>1</v>
      </c>
      <c r="E22" s="125" t="s">
        <v>24</v>
      </c>
      <c r="F22" s="126">
        <f>F17*3.595%</f>
        <v>24680.84792438263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3196.1698062075507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6933.9795281297502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24440.561505091002</v>
      </c>
      <c r="G25" s="35" t="s">
        <v>27</v>
      </c>
    </row>
    <row r="26" spans="1:7" ht="33" customHeight="1">
      <c r="A26" s="29"/>
      <c r="B26" s="42" t="s">
        <v>31</v>
      </c>
      <c r="C26" s="45" t="s">
        <v>79</v>
      </c>
      <c r="D26" s="30">
        <v>1</v>
      </c>
      <c r="E26" s="30" t="s">
        <v>24</v>
      </c>
      <c r="F26" s="43">
        <f>(F16+F17)*3.11%</f>
        <v>26129.368685627251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40226.19268789723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158217.41989834167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998390.04644584167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998000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114" bestFit="1" customWidth="1"/>
    <col min="2" max="5" width="17.625" style="105" hidden="1" customWidth="1"/>
    <col min="6" max="6" width="42.625" style="101" customWidth="1"/>
    <col min="7" max="7" width="30.625" style="101" customWidth="1"/>
    <col min="8" max="8" width="12" style="105" bestFit="1" customWidth="1"/>
    <col min="9" max="9" width="6.625" style="105" customWidth="1"/>
    <col min="10" max="10" width="10.25" style="105" bestFit="1" customWidth="1"/>
    <col min="11" max="11" width="13.25" style="105" bestFit="1" customWidth="1"/>
    <col min="12" max="12" width="9.875" style="105" customWidth="1"/>
    <col min="13" max="13" width="13.25" style="105" bestFit="1" customWidth="1"/>
    <col min="14" max="14" width="6.375" style="105" customWidth="1"/>
    <col min="15" max="15" width="8.75" style="105" bestFit="1" customWidth="1"/>
    <col min="16" max="16" width="6.375" style="105" customWidth="1"/>
    <col min="17" max="17" width="8.75" style="105" bestFit="1" customWidth="1"/>
    <col min="18" max="18" width="14.75" style="105" customWidth="1"/>
    <col min="19" max="19" width="10.625" style="62" bestFit="1" customWidth="1"/>
    <col min="20" max="20" width="8.5" style="105" bestFit="1" customWidth="1"/>
    <col min="21" max="16384" width="9" style="105"/>
  </cols>
  <sheetData>
    <row r="1" spans="1:20" ht="19.899999999999999" customHeight="1">
      <c r="A1" s="136"/>
      <c r="B1" s="136"/>
      <c r="C1" s="136"/>
      <c r="D1" s="136"/>
      <c r="E1" s="136"/>
      <c r="J1" s="62"/>
      <c r="K1" s="104" t="s">
        <v>58</v>
      </c>
      <c r="M1" s="104" t="s">
        <v>58</v>
      </c>
      <c r="O1" s="104" t="s">
        <v>58</v>
      </c>
      <c r="Q1" s="104" t="s">
        <v>58</v>
      </c>
    </row>
    <row r="2" spans="1:20" ht="19.899999999999999" customHeight="1" thickBot="1">
      <c r="A2" s="136"/>
      <c r="B2" s="136"/>
      <c r="C2" s="136"/>
      <c r="D2" s="136"/>
      <c r="E2" s="13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6"/>
      <c r="B3" s="106" t="s">
        <v>59</v>
      </c>
      <c r="C3" s="107"/>
      <c r="D3" s="107"/>
      <c r="E3" s="107"/>
      <c r="F3" s="147" t="s">
        <v>60</v>
      </c>
      <c r="G3" s="147"/>
      <c r="H3" s="145" t="s">
        <v>61</v>
      </c>
      <c r="I3" s="145" t="s">
        <v>5</v>
      </c>
      <c r="J3" s="141" t="s">
        <v>62</v>
      </c>
      <c r="K3" s="141"/>
      <c r="L3" s="141" t="s">
        <v>63</v>
      </c>
      <c r="M3" s="141"/>
      <c r="N3" s="142" t="s">
        <v>64</v>
      </c>
      <c r="O3" s="142"/>
      <c r="P3" s="142" t="s">
        <v>65</v>
      </c>
      <c r="Q3" s="142"/>
      <c r="R3" s="143" t="s">
        <v>66</v>
      </c>
      <c r="S3" s="139" t="s">
        <v>67</v>
      </c>
      <c r="T3" s="137" t="s">
        <v>44</v>
      </c>
    </row>
    <row r="4" spans="1:20" ht="19.899999999999999" customHeight="1">
      <c r="A4" s="65" t="s">
        <v>68</v>
      </c>
      <c r="B4" s="66" t="s">
        <v>69</v>
      </c>
      <c r="C4" s="66" t="s">
        <v>70</v>
      </c>
      <c r="D4" s="66" t="s">
        <v>71</v>
      </c>
      <c r="E4" s="66" t="s">
        <v>72</v>
      </c>
      <c r="F4" s="102" t="s">
        <v>73</v>
      </c>
      <c r="G4" s="102" t="s">
        <v>74</v>
      </c>
      <c r="H4" s="146"/>
      <c r="I4" s="146"/>
      <c r="J4" s="67" t="s">
        <v>75</v>
      </c>
      <c r="K4" s="68" t="s">
        <v>76</v>
      </c>
      <c r="L4" s="67" t="s">
        <v>77</v>
      </c>
      <c r="M4" s="68" t="s">
        <v>76</v>
      </c>
      <c r="N4" s="68" t="s">
        <v>78</v>
      </c>
      <c r="O4" s="68" t="s">
        <v>76</v>
      </c>
      <c r="P4" s="68" t="s">
        <v>78</v>
      </c>
      <c r="Q4" s="68" t="s">
        <v>76</v>
      </c>
      <c r="R4" s="144"/>
      <c r="S4" s="140"/>
      <c r="T4" s="138"/>
    </row>
    <row r="5" spans="1:20" s="108" customFormat="1" ht="38.1" customHeight="1">
      <c r="A5" s="69" t="str">
        <f t="shared" ref="A5" si="0">B5&amp;C5&amp;D5&amp;E5</f>
        <v>L002</v>
      </c>
      <c r="B5" s="80"/>
      <c r="C5" s="83"/>
      <c r="D5" s="81"/>
      <c r="E5" s="80" t="s">
        <v>93</v>
      </c>
      <c r="F5" s="87" t="s">
        <v>94</v>
      </c>
      <c r="G5" s="87" t="s">
        <v>95</v>
      </c>
      <c r="H5" s="95" t="s">
        <v>91</v>
      </c>
      <c r="I5" s="116">
        <v>0.8</v>
      </c>
      <c r="J5" s="91"/>
      <c r="K5" s="92">
        <f t="shared" ref="K5" si="1">SUM(J5:J5)*I5*$K$2</f>
        <v>0</v>
      </c>
      <c r="L5" s="117">
        <v>171037</v>
      </c>
      <c r="M5" s="92">
        <f>I5*L5</f>
        <v>136829.6</v>
      </c>
      <c r="N5" s="93"/>
      <c r="O5" s="92">
        <f t="shared" ref="O5" si="2">N5*I5*$O$2</f>
        <v>0</v>
      </c>
      <c r="P5" s="93"/>
      <c r="Q5" s="92">
        <f t="shared" ref="Q5" si="3">P5*I5*$Q$2</f>
        <v>0</v>
      </c>
      <c r="R5" s="72">
        <f t="shared" ref="R5" si="4">SUM(K5+M5)+O5+Q5</f>
        <v>136829.6</v>
      </c>
      <c r="S5" s="73"/>
      <c r="T5" s="74"/>
    </row>
    <row r="6" spans="1:20" s="108" customFormat="1" ht="38.1" customHeight="1">
      <c r="A6" s="69" t="str">
        <f t="shared" ref="A6:A9" si="5">B6&amp;C6&amp;D6&amp;E6</f>
        <v>M020750510120102</v>
      </c>
      <c r="B6" s="80"/>
      <c r="C6" s="81"/>
      <c r="D6" s="83" t="s">
        <v>80</v>
      </c>
      <c r="E6" s="81"/>
      <c r="F6" s="87" t="s">
        <v>81</v>
      </c>
      <c r="G6" s="87" t="s">
        <v>82</v>
      </c>
      <c r="H6" s="95" t="s">
        <v>83</v>
      </c>
      <c r="I6" s="98">
        <v>10</v>
      </c>
      <c r="J6" s="117">
        <v>6400</v>
      </c>
      <c r="K6" s="92">
        <f t="shared" ref="K6:K9" si="6">SUM(J6:J6)*I6*$K$2</f>
        <v>53440</v>
      </c>
      <c r="L6" s="94"/>
      <c r="M6" s="92">
        <f t="shared" ref="M6:M8" si="7">(L6*I6)*$M$2</f>
        <v>0</v>
      </c>
      <c r="N6" s="93"/>
      <c r="O6" s="92">
        <f t="shared" ref="O6:O9" si="8">N6*I6*$O$2</f>
        <v>0</v>
      </c>
      <c r="P6" s="93"/>
      <c r="Q6" s="92">
        <f t="shared" ref="Q6:Q9" si="9">P6*I6*$Q$2</f>
        <v>0</v>
      </c>
      <c r="R6" s="72">
        <f t="shared" ref="R6:R9" si="10">SUM(K6+M6)+O6+Q6</f>
        <v>53440</v>
      </c>
      <c r="S6" s="73"/>
      <c r="T6" s="74"/>
    </row>
    <row r="7" spans="1:20" s="108" customFormat="1" ht="38.1" customHeight="1">
      <c r="A7" s="69" t="str">
        <f t="shared" si="5"/>
        <v>M020750510130104</v>
      </c>
      <c r="B7" s="80"/>
      <c r="C7" s="83"/>
      <c r="D7" s="83" t="s">
        <v>84</v>
      </c>
      <c r="E7" s="83"/>
      <c r="F7" s="87" t="s">
        <v>85</v>
      </c>
      <c r="G7" s="87" t="s">
        <v>86</v>
      </c>
      <c r="H7" s="95" t="s">
        <v>83</v>
      </c>
      <c r="I7" s="98">
        <v>10</v>
      </c>
      <c r="J7" s="117">
        <v>12000</v>
      </c>
      <c r="K7" s="92">
        <f t="shared" si="6"/>
        <v>100200</v>
      </c>
      <c r="L7" s="94"/>
      <c r="M7" s="92">
        <f t="shared" si="7"/>
        <v>0</v>
      </c>
      <c r="N7" s="93"/>
      <c r="O7" s="92">
        <f t="shared" si="8"/>
        <v>0</v>
      </c>
      <c r="P7" s="93"/>
      <c r="Q7" s="92">
        <f t="shared" si="9"/>
        <v>0</v>
      </c>
      <c r="R7" s="72">
        <f t="shared" si="10"/>
        <v>100200</v>
      </c>
      <c r="S7" s="73"/>
      <c r="T7" s="74"/>
    </row>
    <row r="8" spans="1:20" s="108" customFormat="1" ht="38.1" customHeight="1">
      <c r="A8" s="69" t="str">
        <f t="shared" si="5"/>
        <v>E00000803066470202</v>
      </c>
      <c r="B8" s="88"/>
      <c r="C8" s="83" t="s">
        <v>87</v>
      </c>
      <c r="D8" s="83"/>
      <c r="E8" s="88"/>
      <c r="F8" s="87" t="s">
        <v>88</v>
      </c>
      <c r="G8" s="87" t="s">
        <v>92</v>
      </c>
      <c r="H8" s="96" t="s">
        <v>89</v>
      </c>
      <c r="I8" s="99">
        <v>0.57150000000000001</v>
      </c>
      <c r="J8" s="89"/>
      <c r="K8" s="70">
        <f t="shared" si="6"/>
        <v>0</v>
      </c>
      <c r="L8" s="118">
        <v>681499</v>
      </c>
      <c r="M8" s="70">
        <f t="shared" si="7"/>
        <v>325213.02654749999</v>
      </c>
      <c r="N8" s="71"/>
      <c r="O8" s="70">
        <f t="shared" si="8"/>
        <v>0</v>
      </c>
      <c r="P8" s="71"/>
      <c r="Q8" s="70">
        <f t="shared" si="9"/>
        <v>0</v>
      </c>
      <c r="R8" s="72">
        <f t="shared" si="10"/>
        <v>325213.02654749999</v>
      </c>
      <c r="S8" s="73"/>
      <c r="T8" s="74"/>
    </row>
    <row r="9" spans="1:20" s="108" customFormat="1" ht="38.1" customHeight="1">
      <c r="A9" s="69" t="str">
        <f t="shared" si="5"/>
        <v>L003</v>
      </c>
      <c r="B9" s="80"/>
      <c r="C9" s="81"/>
      <c r="D9" s="81"/>
      <c r="E9" s="80" t="s">
        <v>56</v>
      </c>
      <c r="F9" s="86" t="s">
        <v>57</v>
      </c>
      <c r="G9" s="87" t="s">
        <v>90</v>
      </c>
      <c r="H9" s="97" t="s">
        <v>91</v>
      </c>
      <c r="I9" s="100">
        <v>1</v>
      </c>
      <c r="J9" s="82"/>
      <c r="K9" s="70">
        <f t="shared" si="6"/>
        <v>0</v>
      </c>
      <c r="L9" s="119">
        <v>224490</v>
      </c>
      <c r="M9" s="70">
        <f t="shared" ref="M9" si="11">I9*L9</f>
        <v>224490</v>
      </c>
      <c r="N9" s="71"/>
      <c r="O9" s="70">
        <f t="shared" si="8"/>
        <v>0</v>
      </c>
      <c r="P9" s="71"/>
      <c r="Q9" s="70">
        <f t="shared" si="9"/>
        <v>0</v>
      </c>
      <c r="R9" s="72">
        <f t="shared" si="10"/>
        <v>224490</v>
      </c>
      <c r="S9" s="79"/>
      <c r="T9" s="74"/>
    </row>
    <row r="10" spans="1:20" s="110" customFormat="1" ht="38.1" customHeight="1">
      <c r="A10" s="109"/>
      <c r="F10" s="103"/>
      <c r="G10" s="103"/>
      <c r="K10" s="111">
        <f>SUM(K5:K9)</f>
        <v>153640</v>
      </c>
      <c r="L10" s="112"/>
      <c r="M10" s="111">
        <f>SUM(M5:M9)</f>
        <v>686532.62654750003</v>
      </c>
      <c r="N10" s="112"/>
      <c r="O10" s="111">
        <f>SUM(O5:O9)</f>
        <v>0</v>
      </c>
      <c r="P10" s="112"/>
      <c r="Q10" s="111">
        <f>SUM(Q5:Q9)</f>
        <v>0</v>
      </c>
      <c r="R10" s="113">
        <f>SUM(R5:R9)</f>
        <v>840172.62654750003</v>
      </c>
      <c r="S10" s="75"/>
    </row>
    <row r="14" spans="1:20" ht="38.1" customHeight="1">
      <c r="M14" s="11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0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L002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L002</v>
      </c>
      <c r="F2" s="78">
        <f>'내역서(표준단가)'!I5</f>
        <v>0.8</v>
      </c>
    </row>
    <row r="3" spans="1:6">
      <c r="A3" s="77" t="str">
        <f>'내역서(표준단가)'!A6</f>
        <v>M020750510120102</v>
      </c>
      <c r="B3" s="78">
        <f>'내역서(표준단가)'!B6</f>
        <v>0</v>
      </c>
      <c r="C3" s="78">
        <f>'내역서(표준단가)'!C6</f>
        <v>0</v>
      </c>
      <c r="D3" s="78" t="str">
        <f>'내역서(표준단가)'!D6</f>
        <v>M020750510120102</v>
      </c>
      <c r="E3" s="78">
        <f>'내역서(표준단가)'!E6</f>
        <v>0</v>
      </c>
      <c r="F3" s="78">
        <f>'내역서(표준단가)'!I6</f>
        <v>10</v>
      </c>
    </row>
    <row r="4" spans="1:6">
      <c r="A4" s="77" t="str">
        <f>'내역서(표준단가)'!A7</f>
        <v>M020750510130104</v>
      </c>
      <c r="B4" s="78">
        <f>'내역서(표준단가)'!B7</f>
        <v>0</v>
      </c>
      <c r="C4" s="78">
        <f>'내역서(표준단가)'!C7</f>
        <v>0</v>
      </c>
      <c r="D4" s="78" t="str">
        <f>'내역서(표준단가)'!D7</f>
        <v>M020750510130104</v>
      </c>
      <c r="E4" s="78">
        <f>'내역서(표준단가)'!E7</f>
        <v>0</v>
      </c>
      <c r="F4" s="78">
        <f>'내역서(표준단가)'!I7</f>
        <v>10</v>
      </c>
    </row>
    <row r="5" spans="1:6">
      <c r="A5" s="77" t="str">
        <f>'내역서(표준단가)'!A8</f>
        <v>E00000803066470202</v>
      </c>
      <c r="B5" s="78">
        <f>'내역서(표준단가)'!B8</f>
        <v>0</v>
      </c>
      <c r="C5" s="78" t="str">
        <f>'내역서(표준단가)'!C8</f>
        <v>E00000803066470202</v>
      </c>
      <c r="D5" s="78">
        <f>'내역서(표준단가)'!D8</f>
        <v>0</v>
      </c>
      <c r="E5" s="78">
        <f>'내역서(표준단가)'!E8</f>
        <v>0</v>
      </c>
      <c r="F5" s="78">
        <f>'내역서(표준단가)'!I8</f>
        <v>0.57150000000000001</v>
      </c>
    </row>
    <row r="6" spans="1:6">
      <c r="A6" s="77" t="str">
        <f>'내역서(표준단가)'!A9</f>
        <v>L003</v>
      </c>
      <c r="B6" s="78">
        <f>'내역서(표준단가)'!B9</f>
        <v>0</v>
      </c>
      <c r="C6" s="78">
        <f>'내역서(표준단가)'!C9</f>
        <v>0</v>
      </c>
      <c r="D6" s="78">
        <f>'내역서(표준단가)'!D9</f>
        <v>0</v>
      </c>
      <c r="E6" s="78" t="str">
        <f>'내역서(표준단가)'!E9</f>
        <v>L003</v>
      </c>
      <c r="F6" s="78">
        <f>'내역서(표준단가)'!I9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2026-05-26T01:38:23Z</dcterms:modified>
</cp:coreProperties>
</file>
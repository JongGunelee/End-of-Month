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20\06 작업폴더\02 기숙사동 및 사택 공용부 EHP 필터 세척\"/>
    </mc:Choice>
  </mc:AlternateContent>
  <xr:revisionPtr revIDLastSave="0" documentId="13_ncr:1_{456C023E-0F82-4334-ADBE-4F4117995235}" xr6:coauthVersionLast="47" xr6:coauthVersionMax="47" xr10:uidLastSave="{00000000-0000-0000-0000-000000000000}"/>
  <bookViews>
    <workbookView xWindow="390" yWindow="390" windowWidth="14490" windowHeight="15480" xr2:uid="{00000000-000D-0000-FFFF-FFFF00000000}"/>
  </bookViews>
  <sheets>
    <sheet name="갑지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K25" i="5"/>
  <c r="K31" i="5" s="1"/>
  <c r="E13" i="5" s="1"/>
  <c r="K20" i="5"/>
  <c r="B13" i="5"/>
  <c r="K13" i="5" l="1"/>
  <c r="C7" i="5" s="1"/>
</calcChain>
</file>

<file path=xl/sharedStrings.xml><?xml version="1.0" encoding="utf-8"?>
<sst xmlns="http://schemas.openxmlformats.org/spreadsheetml/2006/main" count="83" uniqueCount="76">
  <si>
    <t>등록번호</t>
    <phoneticPr fontId="4" type="noConversion"/>
  </si>
  <si>
    <t>서울특별시 강서구 마곡중앙5로 18, 10, 11층(메이플레이스빌딩)</t>
    <phoneticPr fontId="4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</si>
  <si>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</si>
  <si>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</si>
  <si>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</si>
  <si>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</si>
  <si>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전화</t>
    <phoneticPr fontId="4" type="noConversion"/>
  </si>
  <si>
    <t>세척견적액</t>
    <phoneticPr fontId="8" type="noConversion"/>
  </si>
  <si>
    <t>수  량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</si>
  <si>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</si>
  <si>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</si>
  <si>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</si>
  <si>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NO</t>
    <phoneticPr fontId="8" type="noConversion"/>
  </si>
  <si>
    <t>세척 내역</t>
    <phoneticPr fontId="4" type="noConversion"/>
  </si>
  <si>
    <t>단가</t>
    <phoneticPr fontId="8" type="noConversion"/>
  </si>
  <si>
    <t>1회</t>
    <phoneticPr fontId="19" type="noConversion"/>
  </si>
  <si>
    <t>특이사항</t>
    <phoneticPr fontId="8" type="noConversion"/>
  </si>
  <si>
    <t>해당없음</t>
  </si>
  <si>
    <t>•가입기간 :</t>
  </si>
  <si>
    <t>신규</t>
  </si>
  <si>
    <t>•사용기간 :</t>
  </si>
  <si>
    <t>우리은행 :</t>
  </si>
  <si>
    <t>하이엠솔루텍㈜</t>
  </si>
  <si>
    <t>•계산기 :</t>
  </si>
  <si>
    <t>• 분할기간:</t>
  </si>
  <si>
    <t xml:space="preserve">    유  광  열</t>
    <phoneticPr fontId="4" type="noConversion"/>
  </si>
  <si>
    <t>실내기 필터 세척</t>
    <phoneticPr fontId="8" type="noConversion"/>
  </si>
  <si>
    <t>견적유효일</t>
    <phoneticPr fontId="8" type="noConversion"/>
  </si>
  <si>
    <t>010-7936-0968</t>
    <phoneticPr fontId="4" type="noConversion"/>
  </si>
  <si>
    <t>042-486-4116</t>
    <phoneticPr fontId="4" type="noConversion"/>
  </si>
  <si>
    <t>구분</t>
    <phoneticPr fontId="8" type="noConversion"/>
  </si>
  <si>
    <t>부품 견적액</t>
    <phoneticPr fontId="8" type="noConversion"/>
  </si>
  <si>
    <t>상세 내역</t>
    <phoneticPr fontId="4" type="noConversion"/>
  </si>
  <si>
    <t>고객담당자  :</t>
    <phoneticPr fontId="8" type="noConversion"/>
  </si>
  <si>
    <t>전기,전자기기수리, 에어컨세척</t>
    <phoneticPr fontId="4" type="noConversion"/>
  </si>
  <si>
    <t xml:space="preserve">  아래와 같이 시스템에어컨 유지보수에 대한 상세내역을 제출합니다.</t>
    <phoneticPr fontId="4" type="noConversion"/>
  </si>
  <si>
    <t>Ⅱ. 세척 견적내역</t>
    <phoneticPr fontId="8" type="noConversion"/>
  </si>
  <si>
    <t>일시불</t>
    <phoneticPr fontId="8" type="noConversion"/>
  </si>
  <si>
    <t>LG 시스템 냉난방기 세척 견적서</t>
    <phoneticPr fontId="4" type="noConversion"/>
  </si>
  <si>
    <t xml:space="preserve">LG 사택 공용부 貴中 </t>
    <phoneticPr fontId="8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</si>
  <si>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</si>
  <si>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</si>
  <si>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</si>
  <si>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</si>
  <si>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</si>
  <si>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>계약조건</t>
    <phoneticPr fontId="8" type="noConversion"/>
  </si>
  <si>
    <t>사업장
주소</t>
    <phoneticPr fontId="4" type="noConversion"/>
  </si>
  <si>
    <t>서비스 외</t>
    <phoneticPr fontId="4" type="noConversion"/>
  </si>
  <si>
    <t>종목</t>
    <phoneticPr fontId="4" type="noConversion"/>
  </si>
  <si>
    <t>(VAT별도)</t>
    <phoneticPr fontId="8" type="noConversion"/>
  </si>
  <si>
    <t>팩스</t>
    <phoneticPr fontId="4" type="noConversion"/>
  </si>
  <si>
    <t>VAT별도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</si>
  <si>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</si>
  <si>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</si>
  <si>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</si>
  <si>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</si>
  <si>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</si>
  <si>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</si>
  <si>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</si>
  <si>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</si>
  <si>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</si>
  <si>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횟 수</t>
    <phoneticPr fontId="8" type="noConversion"/>
  </si>
  <si>
    <t>비   고</t>
    <phoneticPr fontId="8" type="noConversion"/>
  </si>
  <si>
    <t>합  계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</si>
  <si>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</si>
  <si>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</si>
  <si>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년차</t>
    <phoneticPr fontId="8" type="noConversion"/>
  </si>
  <si>
    <t xml:space="preserve"> 1005-501-085730</t>
    <phoneticPr fontId="8" type="noConversion"/>
  </si>
  <si>
    <t>•SE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</si>
  <si>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</si>
  <si>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</si>
  <si>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</si>
  <si>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</si>
  <si>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</si>
  <si>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</si>
  <si>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>HIM-C1_1/2/4WAY 및 스탠드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</si>
</sst>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₩&quot;* #,##0_);_(&quot;₩&quot;* \(#,##0\);_(&quot;₩&quot;* &quot;-&quot;_);_(@_)"/>
    <numFmt numFmtId="177" formatCode="_(* #,##0_);_(* \(#,##0\);_(* &quot;-&quot;_);_(@_)"/>
    <numFmt numFmtId="178" formatCode="yyyy&quot;년&quot;\ m&quot;월&quot;\ d&quot;일&quot;;@"/>
    <numFmt numFmtId="179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177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>
      <alignment vertical="center"/>
    </xf>
    <xf numFmtId="31" fontId="11" fillId="2" borderId="0" xfId="1" applyNumberFormat="1" applyFont="1" applyFill="1">
      <alignment vertical="center"/>
    </xf>
    <xf numFmtId="176" fontId="11" fillId="2" borderId="0" xfId="1" applyNumberFormat="1" applyFont="1" applyFill="1">
      <alignment vertical="center"/>
    </xf>
    <xf numFmtId="177" fontId="11" fillId="2" borderId="0" xfId="1" applyNumberFormat="1" applyFont="1" applyFill="1">
      <alignment vertical="center"/>
    </xf>
    <xf numFmtId="0" fontId="11" fillId="2" borderId="0" xfId="1" applyFont="1" applyFill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7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7" fontId="18" fillId="2" borderId="47" xfId="2" applyFont="1" applyFill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177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177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79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6" fillId="2" borderId="18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177" fontId="25" fillId="2" borderId="13" xfId="1" applyNumberFormat="1" applyFont="1" applyFill="1" applyBorder="1" applyAlignment="1">
      <alignment vertical="center" shrinkToFit="1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right" vertical="center"/>
    </xf>
    <xf numFmtId="0" fontId="7" fillId="2" borderId="8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8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176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7" fontId="7" fillId="2" borderId="20" xfId="3" applyNumberFormat="1" applyFont="1" applyFill="1" applyBorder="1" applyAlignment="1">
      <alignment horizontal="center" vertical="center"/>
    </xf>
    <xf numFmtId="177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177" fontId="17" fillId="2" borderId="50" xfId="2" applyFont="1" applyFill="1" applyBorder="1" applyAlignment="1">
      <alignment horizontal="center" vertical="center" wrapText="1"/>
    </xf>
    <xf numFmtId="177" fontId="17" fillId="2" borderId="51" xfId="2" applyFont="1" applyFill="1" applyBorder="1" applyAlignment="1">
      <alignment horizontal="center" vertical="center" wrapText="1"/>
    </xf>
    <xf numFmtId="177" fontId="17" fillId="2" borderId="53" xfId="2" applyFont="1" applyFill="1" applyBorder="1" applyAlignment="1">
      <alignment horizontal="center" vertical="center" wrapText="1"/>
    </xf>
    <xf numFmtId="177" fontId="17" fillId="2" borderId="6" xfId="2" applyFont="1" applyFill="1" applyBorder="1" applyAlignment="1">
      <alignment horizontal="center" vertical="center" wrapText="1"/>
    </xf>
    <xf numFmtId="177" fontId="17" fillId="2" borderId="47" xfId="2" applyFont="1" applyFill="1" applyBorder="1" applyAlignment="1">
      <alignment horizontal="center" vertical="center" wrapText="1"/>
    </xf>
    <xf numFmtId="177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7" fontId="6" fillId="0" borderId="16" xfId="2" applyFont="1" applyBorder="1" applyAlignment="1">
      <alignment horizontal="center" vertical="center"/>
    </xf>
    <xf numFmtId="177" fontId="6" fillId="0" borderId="52" xfId="2" applyFont="1" applyBorder="1" applyAlignment="1">
      <alignment horizontal="center" vertical="center"/>
    </xf>
    <xf numFmtId="177" fontId="6" fillId="2" borderId="16" xfId="2" applyFont="1" applyFill="1" applyBorder="1" applyAlignment="1">
      <alignment horizontal="center" vertical="center"/>
    </xf>
    <xf numFmtId="177" fontId="6" fillId="2" borderId="52" xfId="2" applyFont="1" applyFill="1" applyBorder="1" applyAlignment="1">
      <alignment horizontal="center" vertical="center"/>
    </xf>
    <xf numFmtId="177" fontId="6" fillId="2" borderId="47" xfId="2" applyFont="1" applyFill="1" applyBorder="1" applyAlignment="1">
      <alignment horizontal="center" vertical="center"/>
    </xf>
    <xf numFmtId="177" fontId="6" fillId="2" borderId="8" xfId="2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177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7" fontId="15" fillId="2" borderId="33" xfId="1" applyNumberFormat="1" applyFont="1" applyFill="1" applyBorder="1" applyAlignment="1">
      <alignment horizontal="center" vertical="center" wrapText="1"/>
    </xf>
    <xf numFmtId="177" fontId="15" fillId="2" borderId="34" xfId="1" applyNumberFormat="1" applyFont="1" applyFill="1" applyBorder="1" applyAlignment="1">
      <alignment horizontal="center" vertical="center"/>
    </xf>
    <xf numFmtId="177" fontId="15" fillId="2" borderId="35" xfId="1" applyNumberFormat="1" applyFont="1" applyFill="1" applyBorder="1" applyAlignment="1">
      <alignment horizontal="center" vertical="center"/>
    </xf>
    <xf numFmtId="177" fontId="14" fillId="2" borderId="33" xfId="1" applyNumberFormat="1" applyFont="1" applyFill="1" applyBorder="1" applyAlignment="1">
      <alignment horizontal="center" vertical="center"/>
    </xf>
    <xf numFmtId="177" fontId="14" fillId="2" borderId="34" xfId="1" applyNumberFormat="1" applyFont="1" applyFill="1" applyBorder="1" applyAlignment="1">
      <alignment horizontal="center" vertical="center"/>
    </xf>
    <xf numFmtId="177" fontId="14" fillId="2" borderId="36" xfId="1" applyNumberFormat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7" fontId="18" fillId="0" borderId="47" xfId="2" applyFont="1" applyBorder="1" applyAlignment="1">
      <alignment horizontal="center" vertical="center"/>
    </xf>
    <xf numFmtId="177" fontId="18" fillId="0" borderId="48" xfId="2" applyFont="1" applyBorder="1" applyAlignment="1">
      <alignment horizontal="center" vertical="center"/>
    </xf>
    <xf numFmtId="177" fontId="18" fillId="2" borderId="49" xfId="2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7" fontId="6" fillId="0" borderId="47" xfId="2" applyFont="1" applyBorder="1" applyAlignment="1">
      <alignment horizontal="center" vertical="center"/>
    </xf>
    <xf numFmtId="177" fontId="6" fillId="0" borderId="48" xfId="2" applyFont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177" fontId="18" fillId="0" borderId="44" xfId="2" applyFont="1" applyBorder="1" applyAlignment="1">
      <alignment horizontal="right" vertical="center"/>
    </xf>
    <xf numFmtId="177" fontId="18" fillId="0" borderId="46" xfId="2" applyFont="1" applyBorder="1" applyAlignment="1">
      <alignment horizontal="right" vertical="center"/>
    </xf>
    <xf numFmtId="177" fontId="18" fillId="2" borderId="44" xfId="2" applyFont="1" applyFill="1" applyBorder="1" applyAlignment="1">
      <alignment horizontal="center" vertical="center"/>
    </xf>
    <xf numFmtId="177" fontId="18" fillId="2" borderId="46" xfId="2" applyFont="1" applyFill="1" applyBorder="1" applyAlignment="1">
      <alignment horizontal="center" vertical="center"/>
    </xf>
    <xf numFmtId="177" fontId="6" fillId="2" borderId="44" xfId="2" applyFont="1" applyFill="1" applyBorder="1" applyAlignment="1">
      <alignment horizontal="center" vertical="center"/>
    </xf>
    <xf numFmtId="177" fontId="6" fillId="2" borderId="45" xfId="2" applyFont="1" applyFill="1" applyBorder="1" applyAlignment="1">
      <alignment horizontal="center" vertical="center"/>
    </xf>
    <xf numFmtId="177" fontId="6" fillId="2" borderId="46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shrinkToFit="1"/>
    </xf>
    <xf numFmtId="177" fontId="6" fillId="0" borderId="53" xfId="2" applyFont="1" applyBorder="1" applyAlignment="1">
      <alignment horizontal="center" vertical="center"/>
    </xf>
    <xf numFmtId="177" fontId="6" fillId="0" borderId="58" xfId="2" applyFont="1" applyBorder="1" applyAlignment="1">
      <alignment horizontal="center" vertical="center"/>
    </xf>
    <xf numFmtId="177" fontId="6" fillId="2" borderId="15" xfId="2" applyFont="1" applyFill="1" applyBorder="1" applyAlignment="1">
      <alignment horizontal="center" vertical="center"/>
    </xf>
    <xf numFmtId="177" fontId="6" fillId="2" borderId="13" xfId="2" applyFont="1" applyFill="1" applyBorder="1" applyAlignment="1">
      <alignment horizontal="center" vertical="center"/>
    </xf>
    <xf numFmtId="177" fontId="20" fillId="2" borderId="16" xfId="2" applyFont="1" applyFill="1" applyBorder="1" applyAlignment="1">
      <alignment horizontal="center" vertical="center" wrapText="1"/>
    </xf>
    <xf numFmtId="177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16" xfId="1" applyFont="1" applyBorder="1" applyAlignment="1">
      <alignment horizontal="left" vertical="top" wrapText="1"/>
    </xf>
    <xf numFmtId="0" fontId="16" fillId="0" borderId="17" xfId="1" applyFont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55" xfId="1" applyFont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right" vertical="center" wrapText="1"/>
    </xf>
    <xf numFmtId="177" fontId="18" fillId="0" borderId="16" xfId="2" applyFont="1" applyBorder="1" applyAlignment="1">
      <alignment horizontal="right" vertical="center"/>
    </xf>
    <xf numFmtId="177" fontId="18" fillId="0" borderId="52" xfId="2" applyFont="1" applyBorder="1" applyAlignment="1">
      <alignment horizontal="right" vertical="center"/>
    </xf>
    <xf numFmtId="177" fontId="21" fillId="2" borderId="50" xfId="2" applyFont="1" applyFill="1" applyBorder="1" applyAlignment="1">
      <alignment horizontal="center" vertical="center" wrapText="1"/>
    </xf>
    <xf numFmtId="177" fontId="21" fillId="2" borderId="51" xfId="2" applyFont="1" applyFill="1" applyBorder="1" applyAlignment="1">
      <alignment horizontal="center" vertical="center" wrapText="1"/>
    </xf>
    <xf numFmtId="177" fontId="21" fillId="2" borderId="53" xfId="2" applyFont="1" applyFill="1" applyBorder="1" applyAlignment="1">
      <alignment horizontal="center" vertical="center" wrapText="1"/>
    </xf>
    <xf numFmtId="177" fontId="21" fillId="2" borderId="6" xfId="2" applyFont="1" applyFill="1" applyBorder="1" applyAlignment="1">
      <alignment horizontal="center" vertical="center" wrapText="1"/>
    </xf>
    <xf numFmtId="177" fontId="21" fillId="2" borderId="47" xfId="2" applyFont="1" applyFill="1" applyBorder="1" applyAlignment="1">
      <alignment horizontal="center" vertical="center" wrapText="1"/>
    </xf>
    <xf numFmtId="177" fontId="21" fillId="2" borderId="54" xfId="2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52" xfId="1" applyFont="1" applyBorder="1" applyAlignment="1">
      <alignment horizontal="center" vertical="center" shrinkToFit="1"/>
    </xf>
    <xf numFmtId="0" fontId="6" fillId="2" borderId="57" xfId="1" applyFont="1" applyFill="1" applyBorder="1" applyAlignment="1">
      <alignment horizontal="center" vertical="center" wrapText="1" shrinkToFit="1"/>
    </xf>
    <xf numFmtId="0" fontId="6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</cellXfs>
  <cellStyles count="6">
    <cellStyle name="백분율 2" xfId="5" xr:uid="{00000000-0005-0000-0000-000000000000}"/>
    <cellStyle name="쉼표 [0] 2" xfId="2" xr:uid="{00000000-0005-0000-0000-000001000000}"/>
    <cellStyle name="통화 [0] 2" xfId="3" xr:uid="{00000000-0005-0000-0000-000002000000}"/>
    <cellStyle name="표준" xfId="0" builtinId="0"/>
    <cellStyle name="표준 2" xfId="1" xr:uid="{00000000-0005-0000-0000-000004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view="pageBreakPreview" topLeftCell="A14" zoomScale="85" zoomScaleNormal="70" zoomScaleSheetLayoutView="85" workbookViewId="0">
      <selection activeCell="B27" sqref="B27:D27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5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8" t="s">
        <v>39</v>
      </c>
      <c r="B3" s="79"/>
      <c r="C3" s="79"/>
      <c r="D3" s="79"/>
      <c r="E3" s="79"/>
      <c r="F3" s="6"/>
      <c r="G3" s="7" t="s">
        <v>0</v>
      </c>
      <c r="H3" s="80" t="s">
        <v>40</v>
      </c>
      <c r="I3" s="80"/>
      <c r="J3" s="80"/>
      <c r="K3" s="80"/>
      <c r="L3" s="80"/>
      <c r="M3" s="80"/>
      <c r="N3" s="81"/>
      <c r="O3" s="82"/>
    </row>
    <row r="4" spans="1:15" ht="22.5" customHeight="1" x14ac:dyDescent="0.3">
      <c r="A4" s="83" t="s">
        <v>41</v>
      </c>
      <c r="B4" s="84"/>
      <c r="C4" s="85">
        <v>46125</v>
      </c>
      <c r="D4" s="85"/>
      <c r="E4" s="85"/>
      <c r="F4" s="8"/>
      <c r="G4" s="9" t="s">
        <v>42</v>
      </c>
      <c r="H4" s="86" t="s">
        <v>43</v>
      </c>
      <c r="I4" s="86"/>
      <c r="J4" s="86"/>
      <c r="K4" s="10" t="s">
        <v>44</v>
      </c>
      <c r="L4" s="87" t="s">
        <v>25</v>
      </c>
      <c r="M4" s="87"/>
      <c r="N4" s="88"/>
      <c r="O4" s="89"/>
    </row>
    <row r="5" spans="1:15" ht="22.5" customHeight="1" x14ac:dyDescent="0.3">
      <c r="A5" s="68" t="s">
        <v>45</v>
      </c>
      <c r="B5" s="69"/>
      <c r="C5" s="70" t="s">
        <v>26</v>
      </c>
      <c r="D5" s="70"/>
      <c r="E5" s="70"/>
      <c r="F5" s="8"/>
      <c r="G5" s="71" t="s">
        <v>46</v>
      </c>
      <c r="H5" s="72" t="s">
        <v>1</v>
      </c>
      <c r="I5" s="72"/>
      <c r="J5" s="72"/>
      <c r="K5" s="72"/>
      <c r="L5" s="72"/>
      <c r="M5" s="72"/>
      <c r="N5" s="73"/>
      <c r="O5" s="74"/>
    </row>
    <row r="6" spans="1:15" ht="22.5" customHeight="1" x14ac:dyDescent="0.3">
      <c r="A6" s="68" t="s">
        <v>27</v>
      </c>
      <c r="B6" s="69"/>
      <c r="C6" s="70" t="s">
        <v>2</v>
      </c>
      <c r="D6" s="70"/>
      <c r="E6" s="70"/>
      <c r="F6" s="8"/>
      <c r="G6" s="71"/>
      <c r="H6" s="72"/>
      <c r="I6" s="72"/>
      <c r="J6" s="72"/>
      <c r="K6" s="72"/>
      <c r="L6" s="72"/>
      <c r="M6" s="72"/>
      <c r="N6" s="73"/>
      <c r="O6" s="74"/>
    </row>
    <row r="7" spans="1:15" ht="22.5" customHeight="1" x14ac:dyDescent="0.3">
      <c r="A7" s="100" t="s">
        <v>3</v>
      </c>
      <c r="B7" s="101"/>
      <c r="C7" s="102">
        <f>K13</f>
        <v>320000</v>
      </c>
      <c r="D7" s="102"/>
      <c r="E7" s="102"/>
      <c r="F7" s="104" t="s">
        <v>4</v>
      </c>
      <c r="G7" s="9" t="s">
        <v>5</v>
      </c>
      <c r="H7" s="86" t="s">
        <v>47</v>
      </c>
      <c r="I7" s="86"/>
      <c r="J7" s="86"/>
      <c r="K7" s="10" t="s">
        <v>48</v>
      </c>
      <c r="L7" s="72" t="s">
        <v>34</v>
      </c>
      <c r="M7" s="72"/>
      <c r="N7" s="73"/>
      <c r="O7" s="74"/>
    </row>
    <row r="8" spans="1:15" ht="22.5" customHeight="1" thickBot="1" x14ac:dyDescent="0.35">
      <c r="A8" s="105" t="s">
        <v>49</v>
      </c>
      <c r="B8" s="106"/>
      <c r="C8" s="103"/>
      <c r="D8" s="103"/>
      <c r="E8" s="103"/>
      <c r="F8" s="104"/>
      <c r="G8" s="11" t="s">
        <v>6</v>
      </c>
      <c r="H8" s="107" t="s">
        <v>28</v>
      </c>
      <c r="I8" s="107"/>
      <c r="J8" s="107"/>
      <c r="K8" s="12" t="s">
        <v>50</v>
      </c>
      <c r="L8" s="107" t="s">
        <v>29</v>
      </c>
      <c r="M8" s="107"/>
      <c r="N8" s="108"/>
      <c r="O8" s="109"/>
    </row>
    <row r="9" spans="1:15" ht="19.5" customHeight="1" x14ac:dyDescent="0.3">
      <c r="A9" s="13"/>
      <c r="B9" s="14"/>
      <c r="C9" s="15"/>
      <c r="D9" s="90"/>
      <c r="E9" s="90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91" t="s">
        <v>51</v>
      </c>
      <c r="O10" s="92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93"/>
      <c r="O11" s="94"/>
    </row>
    <row r="12" spans="1:15" ht="23.25" customHeight="1" thickBot="1" x14ac:dyDescent="0.35">
      <c r="A12" s="21" t="s">
        <v>30</v>
      </c>
      <c r="B12" s="95" t="s">
        <v>31</v>
      </c>
      <c r="C12" s="95"/>
      <c r="D12" s="95"/>
      <c r="E12" s="95" t="s">
        <v>7</v>
      </c>
      <c r="F12" s="95"/>
      <c r="G12" s="95"/>
      <c r="H12" s="96" t="s">
        <v>52</v>
      </c>
      <c r="I12" s="96"/>
      <c r="J12" s="96"/>
      <c r="K12" s="97" t="s">
        <v>53</v>
      </c>
      <c r="L12" s="98"/>
      <c r="M12" s="98"/>
      <c r="N12" s="98"/>
      <c r="O12" s="99"/>
    </row>
    <row r="13" spans="1:15" ht="38.25" customHeight="1" thickTop="1" thickBot="1" x14ac:dyDescent="0.35">
      <c r="A13" s="22" t="s">
        <v>54</v>
      </c>
      <c r="B13" s="129">
        <f>SUM(K16:M19)</f>
        <v>0</v>
      </c>
      <c r="C13" s="130"/>
      <c r="D13" s="130"/>
      <c r="E13" s="129">
        <f>K31</f>
        <v>320000</v>
      </c>
      <c r="F13" s="130"/>
      <c r="G13" s="130"/>
      <c r="H13" s="131"/>
      <c r="I13" s="132"/>
      <c r="J13" s="133"/>
      <c r="K13" s="134">
        <f>B13+E13+H13</f>
        <v>320000</v>
      </c>
      <c r="L13" s="135"/>
      <c r="M13" s="135"/>
      <c r="N13" s="135"/>
      <c r="O13" s="136"/>
    </row>
    <row r="14" spans="1:15" ht="22.5" customHeight="1" x14ac:dyDescent="0.3">
      <c r="A14" s="23" t="s">
        <v>55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56</v>
      </c>
      <c r="B15" s="137" t="s">
        <v>32</v>
      </c>
      <c r="C15" s="138"/>
      <c r="D15" s="139"/>
      <c r="E15" s="25" t="s">
        <v>57</v>
      </c>
      <c r="F15" s="25" t="s">
        <v>58</v>
      </c>
      <c r="G15" s="140" t="s">
        <v>59</v>
      </c>
      <c r="H15" s="140"/>
      <c r="I15" s="141"/>
      <c r="J15" s="141"/>
      <c r="K15" s="137" t="s">
        <v>60</v>
      </c>
      <c r="L15" s="138"/>
      <c r="M15" s="138"/>
      <c r="N15" s="137" t="s">
        <v>10</v>
      </c>
      <c r="O15" s="142"/>
    </row>
    <row r="16" spans="1:15" ht="22.5" customHeight="1" thickTop="1" x14ac:dyDescent="0.3">
      <c r="A16" s="26"/>
      <c r="B16" s="149"/>
      <c r="C16" s="150"/>
      <c r="D16" s="151"/>
      <c r="E16" s="27"/>
      <c r="F16" s="28"/>
      <c r="G16" s="152"/>
      <c r="H16" s="153"/>
      <c r="I16" s="154"/>
      <c r="J16" s="154"/>
      <c r="K16" s="123"/>
      <c r="L16" s="124"/>
      <c r="M16" s="124"/>
      <c r="N16" s="110"/>
      <c r="O16" s="111"/>
    </row>
    <row r="17" spans="1:25" ht="22.5" customHeight="1" x14ac:dyDescent="0.3">
      <c r="A17" s="26"/>
      <c r="B17" s="116"/>
      <c r="C17" s="117"/>
      <c r="D17" s="118"/>
      <c r="E17" s="27"/>
      <c r="F17" s="28"/>
      <c r="G17" s="119"/>
      <c r="H17" s="120"/>
      <c r="I17" s="121"/>
      <c r="J17" s="122"/>
      <c r="K17" s="123"/>
      <c r="L17" s="124"/>
      <c r="M17" s="124"/>
      <c r="N17" s="112"/>
      <c r="O17" s="113"/>
    </row>
    <row r="18" spans="1:25" ht="22.5" customHeight="1" x14ac:dyDescent="0.3">
      <c r="A18" s="26"/>
      <c r="B18" s="125"/>
      <c r="C18" s="117"/>
      <c r="D18" s="118"/>
      <c r="E18" s="27"/>
      <c r="F18" s="28"/>
      <c r="G18" s="119"/>
      <c r="H18" s="120"/>
      <c r="I18" s="121"/>
      <c r="J18" s="122"/>
      <c r="K18" s="123"/>
      <c r="L18" s="124"/>
      <c r="M18" s="124"/>
      <c r="N18" s="112"/>
      <c r="O18" s="113"/>
    </row>
    <row r="19" spans="1:25" ht="22.5" customHeight="1" x14ac:dyDescent="0.3">
      <c r="A19" s="30"/>
      <c r="B19" s="143"/>
      <c r="C19" s="144"/>
      <c r="D19" s="145"/>
      <c r="E19" s="31"/>
      <c r="F19" s="32"/>
      <c r="G19" s="146"/>
      <c r="H19" s="147"/>
      <c r="I19" s="148"/>
      <c r="J19" s="148"/>
      <c r="K19" s="123"/>
      <c r="L19" s="124"/>
      <c r="M19" s="124"/>
      <c r="N19" s="112"/>
      <c r="O19" s="113"/>
    </row>
    <row r="20" spans="1:25" ht="22.5" customHeight="1" x14ac:dyDescent="0.3">
      <c r="A20" s="126" t="s">
        <v>11</v>
      </c>
      <c r="B20" s="127"/>
      <c r="C20" s="127"/>
      <c r="D20" s="127"/>
      <c r="E20" s="127"/>
      <c r="F20" s="127"/>
      <c r="G20" s="127"/>
      <c r="H20" s="127"/>
      <c r="I20" s="127"/>
      <c r="J20" s="128"/>
      <c r="K20" s="123">
        <f>SUM(K16:M19)</f>
        <v>0</v>
      </c>
      <c r="L20" s="124"/>
      <c r="M20" s="124"/>
      <c r="N20" s="114"/>
      <c r="O20" s="115"/>
    </row>
    <row r="21" spans="1:25" ht="22.5" hidden="1" customHeight="1" x14ac:dyDescent="0.3">
      <c r="A21" s="26">
        <v>5</v>
      </c>
      <c r="B21" s="169" t="s">
        <v>4</v>
      </c>
      <c r="C21" s="170"/>
      <c r="D21" s="171"/>
      <c r="E21" s="28" t="s">
        <v>4</v>
      </c>
      <c r="F21" s="28" t="s">
        <v>4</v>
      </c>
      <c r="G21" s="152"/>
      <c r="H21" s="153"/>
      <c r="I21" s="154"/>
      <c r="J21" s="154"/>
      <c r="K21" s="123"/>
      <c r="L21" s="124"/>
      <c r="M21" s="124"/>
      <c r="N21" s="167"/>
      <c r="O21" s="168"/>
    </row>
    <row r="22" spans="1:25" ht="22.5" hidden="1" customHeight="1" x14ac:dyDescent="0.3">
      <c r="A22" s="26">
        <v>6</v>
      </c>
      <c r="B22" s="169" t="s">
        <v>4</v>
      </c>
      <c r="C22" s="170"/>
      <c r="D22" s="171"/>
      <c r="E22" s="28" t="s">
        <v>4</v>
      </c>
      <c r="F22" s="28" t="s">
        <v>4</v>
      </c>
      <c r="G22" s="152"/>
      <c r="H22" s="153"/>
      <c r="I22" s="154"/>
      <c r="J22" s="154"/>
      <c r="K22" s="123"/>
      <c r="L22" s="124"/>
      <c r="M22" s="124"/>
      <c r="N22" s="33" t="s">
        <v>4</v>
      </c>
      <c r="O22" s="34">
        <v>0</v>
      </c>
    </row>
    <row r="23" spans="1:25" ht="22.5" customHeight="1" x14ac:dyDescent="0.3">
      <c r="A23" s="35" t="s">
        <v>36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6"/>
    </row>
    <row r="24" spans="1:25" ht="22.5" customHeight="1" thickBot="1" x14ac:dyDescent="0.35">
      <c r="A24" s="24" t="s">
        <v>12</v>
      </c>
      <c r="B24" s="137" t="s">
        <v>13</v>
      </c>
      <c r="C24" s="138"/>
      <c r="D24" s="139"/>
      <c r="E24" s="25" t="s">
        <v>8</v>
      </c>
      <c r="F24" s="25" t="s">
        <v>61</v>
      </c>
      <c r="G24" s="140" t="s">
        <v>14</v>
      </c>
      <c r="H24" s="140"/>
      <c r="I24" s="141"/>
      <c r="J24" s="141"/>
      <c r="K24" s="137" t="s">
        <v>9</v>
      </c>
      <c r="L24" s="138"/>
      <c r="M24" s="138"/>
      <c r="N24" s="137" t="s">
        <v>62</v>
      </c>
      <c r="O24" s="142"/>
      <c r="Y24" s="1"/>
    </row>
    <row r="25" spans="1:25" ht="21.75" customHeight="1" thickTop="1" x14ac:dyDescent="0.3">
      <c r="A25" s="37">
        <v>1</v>
      </c>
      <c r="B25" s="191" t="s">
        <v>75</v>
      </c>
      <c r="C25" s="192"/>
      <c r="D25" s="193"/>
      <c r="E25" s="38">
        <v>32</v>
      </c>
      <c r="F25" s="33" t="s">
        <v>15</v>
      </c>
      <c r="G25" s="155">
        <v>10000</v>
      </c>
      <c r="H25" s="156"/>
      <c r="I25" s="157"/>
      <c r="J25" s="158"/>
      <c r="K25" s="159">
        <f>G25*E25</f>
        <v>320000</v>
      </c>
      <c r="L25" s="160"/>
      <c r="M25" s="161"/>
      <c r="N25" s="185"/>
      <c r="O25" s="186"/>
    </row>
    <row r="26" spans="1:25" ht="21.75" customHeight="1" x14ac:dyDescent="0.3">
      <c r="A26" s="26"/>
      <c r="B26" s="162"/>
      <c r="C26" s="162"/>
      <c r="D26" s="162"/>
      <c r="E26" s="39"/>
      <c r="F26" s="33"/>
      <c r="G26" s="163"/>
      <c r="H26" s="164"/>
      <c r="I26" s="165"/>
      <c r="J26" s="165"/>
      <c r="K26" s="121"/>
      <c r="L26" s="166"/>
      <c r="M26" s="122"/>
      <c r="N26" s="187"/>
      <c r="O26" s="188"/>
    </row>
    <row r="27" spans="1:25" ht="21.75" customHeight="1" x14ac:dyDescent="0.3">
      <c r="A27" s="40"/>
      <c r="B27" s="194"/>
      <c r="C27" s="162"/>
      <c r="D27" s="162"/>
      <c r="E27" s="41"/>
      <c r="F27" s="33"/>
      <c r="G27" s="183"/>
      <c r="H27" s="184"/>
      <c r="I27" s="121"/>
      <c r="J27" s="122"/>
      <c r="K27" s="121"/>
      <c r="L27" s="166"/>
      <c r="M27" s="122"/>
      <c r="N27" s="187"/>
      <c r="O27" s="188"/>
    </row>
    <row r="28" spans="1:25" ht="21.75" customHeight="1" x14ac:dyDescent="0.3">
      <c r="A28" s="42"/>
      <c r="B28" s="162"/>
      <c r="C28" s="162"/>
      <c r="D28" s="162"/>
      <c r="E28" s="38"/>
      <c r="F28" s="33"/>
      <c r="G28" s="183"/>
      <c r="H28" s="184"/>
      <c r="I28" s="148"/>
      <c r="J28" s="148"/>
      <c r="K28" s="121"/>
      <c r="L28" s="166"/>
      <c r="M28" s="122"/>
      <c r="N28" s="187"/>
      <c r="O28" s="188"/>
    </row>
    <row r="29" spans="1:25" ht="21.75" customHeight="1" x14ac:dyDescent="0.3">
      <c r="A29" s="26"/>
      <c r="B29" s="162"/>
      <c r="C29" s="162"/>
      <c r="D29" s="162"/>
      <c r="E29" s="38"/>
      <c r="F29" s="33"/>
      <c r="G29" s="183"/>
      <c r="H29" s="184"/>
      <c r="I29" s="148"/>
      <c r="J29" s="148"/>
      <c r="K29" s="121"/>
      <c r="L29" s="166"/>
      <c r="M29" s="122"/>
      <c r="N29" s="187"/>
      <c r="O29" s="188"/>
    </row>
    <row r="30" spans="1:25" ht="21.75" customHeight="1" x14ac:dyDescent="0.3">
      <c r="A30" s="26"/>
      <c r="B30" s="162"/>
      <c r="C30" s="162"/>
      <c r="D30" s="162"/>
      <c r="E30" s="41"/>
      <c r="F30" s="33"/>
      <c r="G30" s="183"/>
      <c r="H30" s="184"/>
      <c r="I30" s="121"/>
      <c r="J30" s="122"/>
      <c r="K30" s="121"/>
      <c r="L30" s="166"/>
      <c r="M30" s="122"/>
      <c r="N30" s="187"/>
      <c r="O30" s="188"/>
    </row>
    <row r="31" spans="1:25" ht="21.75" customHeight="1" x14ac:dyDescent="0.3">
      <c r="A31" s="64" t="s">
        <v>63</v>
      </c>
      <c r="B31" s="65"/>
      <c r="C31" s="65"/>
      <c r="D31" s="65"/>
      <c r="E31" s="65"/>
      <c r="F31" s="67">
        <f>K31</f>
        <v>320000</v>
      </c>
      <c r="G31" s="65"/>
      <c r="H31" s="65"/>
      <c r="I31" s="65"/>
      <c r="J31" s="66"/>
      <c r="K31" s="123">
        <f>SUM(K25:M30)</f>
        <v>320000</v>
      </c>
      <c r="L31" s="124"/>
      <c r="M31" s="124"/>
      <c r="N31" s="189"/>
      <c r="O31" s="190"/>
    </row>
    <row r="32" spans="1:25" ht="11.25" customHeight="1" x14ac:dyDescent="0.3">
      <c r="A32" s="4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6"/>
    </row>
    <row r="33" spans="1:17" ht="23.25" customHeight="1" x14ac:dyDescent="0.3">
      <c r="A33" s="172" t="s">
        <v>16</v>
      </c>
      <c r="B33" s="17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6"/>
    </row>
    <row r="34" spans="1:17" ht="75.75" customHeight="1" x14ac:dyDescent="0.3">
      <c r="A34" s="174" t="s">
        <v>64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6"/>
      <c r="O34" s="177"/>
      <c r="Q34" s="44"/>
    </row>
    <row r="35" spans="1:17" ht="75.75" customHeight="1" x14ac:dyDescent="0.3">
      <c r="A35" s="174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6"/>
      <c r="O35" s="177"/>
    </row>
    <row r="36" spans="1:17" ht="75.75" customHeight="1" x14ac:dyDescent="0.3">
      <c r="A36" s="174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6"/>
      <c r="O36" s="177"/>
    </row>
    <row r="37" spans="1:17" ht="75.75" customHeight="1" x14ac:dyDescent="0.3">
      <c r="A37" s="174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6"/>
      <c r="O37" s="177"/>
    </row>
    <row r="38" spans="1:17" ht="75.75" customHeight="1" x14ac:dyDescent="0.3">
      <c r="A38" s="174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6"/>
      <c r="O38" s="177"/>
    </row>
    <row r="39" spans="1:17" ht="24" customHeight="1" x14ac:dyDescent="0.3">
      <c r="A39" s="178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80"/>
    </row>
    <row r="40" spans="1:17" ht="22.5" customHeight="1" x14ac:dyDescent="0.3">
      <c r="A40" s="45" t="s">
        <v>65</v>
      </c>
      <c r="B40" s="181" t="s">
        <v>17</v>
      </c>
      <c r="C40" s="181"/>
      <c r="D40" s="181"/>
      <c r="E40" s="181"/>
      <c r="F40" s="46" t="s">
        <v>18</v>
      </c>
      <c r="G40" s="47" t="s">
        <v>19</v>
      </c>
      <c r="H40" s="46" t="s">
        <v>20</v>
      </c>
      <c r="I40" s="47" t="s">
        <v>66</v>
      </c>
      <c r="J40" s="46"/>
      <c r="K40" s="47"/>
      <c r="L40" s="182"/>
      <c r="M40" s="182"/>
      <c r="N40" s="48"/>
      <c r="O40" s="49"/>
    </row>
    <row r="41" spans="1:17" ht="22.5" customHeight="1" thickBot="1" x14ac:dyDescent="0.35">
      <c r="A41" s="50" t="s">
        <v>21</v>
      </c>
      <c r="B41" s="198" t="s">
        <v>67</v>
      </c>
      <c r="C41" s="198"/>
      <c r="D41" s="198" t="s">
        <v>22</v>
      </c>
      <c r="E41" s="198"/>
      <c r="F41" s="198"/>
      <c r="G41" s="51"/>
      <c r="H41" s="52" t="s">
        <v>68</v>
      </c>
      <c r="I41" s="198"/>
      <c r="J41" s="198"/>
      <c r="K41" s="53" t="s">
        <v>23</v>
      </c>
      <c r="L41" s="198"/>
      <c r="M41" s="198"/>
      <c r="N41" s="54" t="s">
        <v>24</v>
      </c>
      <c r="O41" s="55" t="s">
        <v>37</v>
      </c>
    </row>
    <row r="42" spans="1:17" ht="22.5" customHeight="1" thickBot="1" x14ac:dyDescent="0.35">
      <c r="A42" s="199" t="s">
        <v>33</v>
      </c>
      <c r="B42" s="200"/>
      <c r="C42" s="201" t="s">
        <v>69</v>
      </c>
      <c r="D42" s="202"/>
      <c r="E42" s="56" t="s">
        <v>70</v>
      </c>
      <c r="F42" s="201"/>
      <c r="G42" s="202"/>
      <c r="H42" s="56" t="s">
        <v>71</v>
      </c>
      <c r="I42" s="201" t="s">
        <v>72</v>
      </c>
      <c r="J42" s="202"/>
      <c r="K42" s="56" t="s">
        <v>73</v>
      </c>
      <c r="L42" s="203" t="s">
        <v>74</v>
      </c>
      <c r="M42" s="203"/>
      <c r="N42" s="203"/>
      <c r="O42" s="204"/>
    </row>
    <row r="43" spans="1:17" ht="19.5" customHeight="1" x14ac:dyDescent="0.3">
      <c r="A43" s="4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36"/>
    </row>
    <row r="44" spans="1:17" ht="19.5" customHeight="1" x14ac:dyDescent="0.3">
      <c r="A44" s="43"/>
      <c r="B44" s="8"/>
      <c r="C44" s="8"/>
      <c r="D44" s="8"/>
      <c r="E44" s="195"/>
      <c r="F44" s="195"/>
      <c r="G44" s="196"/>
      <c r="H44" s="196"/>
      <c r="I44" s="196"/>
      <c r="J44" s="196"/>
      <c r="K44" s="196"/>
      <c r="L44" s="196"/>
      <c r="M44" s="196"/>
      <c r="N44" s="196"/>
      <c r="O44" s="57"/>
    </row>
    <row r="45" spans="1:17" ht="19.5" customHeight="1" x14ac:dyDescent="0.3">
      <c r="A45" s="43"/>
      <c r="B45" s="8"/>
      <c r="C45" s="8"/>
      <c r="D45" s="8"/>
      <c r="E45" s="58"/>
      <c r="F45" s="58"/>
      <c r="G45" s="58"/>
      <c r="H45" s="59"/>
      <c r="I45" s="58"/>
      <c r="J45" s="59"/>
      <c r="K45" s="58"/>
      <c r="L45" s="59"/>
      <c r="M45" s="58"/>
      <c r="N45" s="58"/>
      <c r="O45" s="60"/>
    </row>
    <row r="46" spans="1:17" ht="31.5" customHeight="1" thickBot="1" x14ac:dyDescent="0.35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3"/>
    </row>
    <row r="50" spans="2:7" ht="21" customHeight="1" x14ac:dyDescent="0.3">
      <c r="B50" s="197"/>
      <c r="C50" s="197"/>
      <c r="D50" s="197"/>
      <c r="E50" s="197"/>
      <c r="F50" s="197"/>
      <c r="G50" s="197"/>
    </row>
  </sheetData>
  <mergeCells count="115"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cp:lastPrinted>2026-04-14T00:39:31Z</cp:lastPrinted>
  <dcterms:created xsi:type="dcterms:W3CDTF">2026-04-14T00:36:24Z</dcterms:created>
  <dcterms:modified xsi:type="dcterms:W3CDTF">2026-04-20T05:55:55Z</dcterms:modified>
</cp:coreProperties>
</file>
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7F2D1CB9-343F-4A01-9279-3CDD33C47732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M5" i="4" l="1"/>
  <c r="Q5" i="4" l="1"/>
  <c r="O5" i="4"/>
  <c r="K5" i="4"/>
  <c r="A5" i="4"/>
  <c r="R5" i="4" l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10" i="4"/>
  <c r="O10" i="4"/>
  <c r="M10" i="4"/>
  <c r="K10" i="4"/>
  <c r="R10" i="4" s="1"/>
  <c r="A10" i="4"/>
  <c r="A7" i="1" s="1"/>
  <c r="M12" i="4" l="1"/>
  <c r="M11" i="4"/>
  <c r="Q12" i="4"/>
  <c r="O12" i="4"/>
  <c r="K12" i="4"/>
  <c r="A12" i="4"/>
  <c r="A9" i="1" s="1"/>
  <c r="Q11" i="4"/>
  <c r="O11" i="4"/>
  <c r="K11" i="4"/>
  <c r="A11" i="4"/>
  <c r="A8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R12" i="4" l="1"/>
  <c r="R8" i="4"/>
  <c r="R9" i="4"/>
  <c r="R6" i="4"/>
  <c r="R7" i="4"/>
  <c r="R11" i="4"/>
  <c r="F2" i="1" l="1"/>
  <c r="E2" i="1"/>
  <c r="D2" i="1"/>
  <c r="C2" i="1"/>
  <c r="B2" i="1"/>
  <c r="A2" i="1"/>
  <c r="Q13" i="4" l="1"/>
  <c r="M13" i="4"/>
  <c r="O13" i="4" l="1"/>
  <c r="R13" i="4" l="1"/>
  <c r="F18" i="5" l="1"/>
  <c r="K13" i="4" l="1"/>
  <c r="F17" i="5" l="1"/>
  <c r="F16" i="5"/>
  <c r="F26" i="5" s="1"/>
  <c r="F22" i="5" l="1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<sst xmlns="http://schemas.openxmlformats.org/spreadsheetml/2006/main" count="132" uniqueCount="107">
  <si>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</si>
  <si>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</si>
  <si>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</si>
  <si>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</si>
  <si>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</si>
  <si>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</si>
  <si>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</si>
  <si>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</si>
  <si>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</si>
  <si>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</si>
  <si>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</si>
  <si>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</si>
  <si>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</si>
  <si>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</si>
  <si>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</si>
  <si>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</si>
  <si>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</si>
  <si>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</si>
  <si>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</si>
  <si>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</si>
  <si>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</si>
  <si>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</si>
  <si>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</si>
  <si>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</si>
  <si>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</si>
  <si>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</si>
  <si>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</si>
  <si>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</si>
  <si>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</si>
  <si>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</si>
  <si>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</si>
  <si>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</si>
  <si>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</si>
  <si>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</si>
  <si>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</si>
  <si>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</si>
  <si>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</si>
  <si>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</si>
  <si>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</si>
  <si>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</si>
  <si>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</si>
  <si>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</si>
  <si>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</si>
  <si>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</si>
  <si>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</si>
  <si>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</si>
  <si>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</si>
  <si>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</si>
  <si>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</si>
  <si>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</si>
  <si>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</si>
  <si>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</si>
  <si>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</si>
  <si>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</si>
  <si>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</si>
  <si>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</si>
  <si>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</si>
  <si>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</si>
  <si>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</si>
  <si>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</si>
  <si>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</si>
  <si>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</si>
  <si>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</si>
  <si>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</si>
  <si>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</si>
  <si>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</si>
  <si>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</si>
  <si>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</si>
  <si>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</si>
  <si>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</si>
  <si>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</si>
  <si>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</si>
  <si>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</si>
  <si>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</si>
  <si>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</si>
  <si>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</si>
  <si>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</si>
  <si>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</si>
  <si>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</si>
  <si>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</si>
  <si>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</si>
  <si>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</si>
  <si>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</si>
  <si>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</si>
  <si>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</si>
  <si>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</si>
  <si>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</si>
  <si>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</si>
  <si>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</si>
  <si>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</si>
  <si>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</si>
  <si>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</si>
  <si>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</si>
  <si>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</si>
  <si>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</si>
  <si>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</si>
  <si>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</si>
  <si>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</si>
  <si>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</si>
  <si>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</si>
  <si>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>L002</t>
    <phoneticPr fontId="10" type="noConversion"/>
  </si>
  <si>
    <t>자재운반 가공, 폐기물처비 포함</t>
    <phoneticPr fontId="10" type="noConversion"/>
  </si>
  <si>
    <t>시중노임단가, 특별인부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</si>
  <si>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</si>
  <si>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</si>
  <si>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103-202 베란다 누수보수(전면)</t>
    <phoneticPr fontId="16" type="noConversion"/>
  </si>
  <si>
    <t xml:space="preserve"> 견적일 : 2026년  02월  25일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</si>
</sst>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49" fontId="21" fillId="7" borderId="3" xfId="0" applyNumberFormat="1" applyFont="1" applyFill="1" applyBorder="1" applyAlignment="1">
      <alignment horizontal="center" vertical="center" wrapText="1"/>
    </xf>
    <xf numFmtId="177" fontId="21" fillId="6" borderId="3" xfId="1" applyFont="1" applyFill="1" applyBorder="1" applyAlignment="1">
      <alignment horizontal="center" vertical="center" wrapText="1"/>
    </xf>
    <xf numFmtId="177" fontId="21" fillId="0" borderId="3" xfId="1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84" fontId="21" fillId="0" borderId="1" xfId="1" applyNumberFormat="1" applyFont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5" fontId="21" fillId="5" borderId="3" xfId="0" applyNumberFormat="1" applyFont="1" applyFill="1" applyBorder="1" applyAlignment="1">
      <alignment horizontal="right" vertical="center"/>
    </xf>
    <xf numFmtId="185" fontId="21" fillId="6" borderId="3" xfId="1" applyNumberFormat="1" applyFont="1" applyFill="1" applyBorder="1" applyAlignment="1">
      <alignment horizontal="right" vertical="center" wrapText="1"/>
    </xf>
    <xf numFmtId="185" fontId="21" fillId="0" borderId="3" xfId="1" applyNumberFormat="1" applyFont="1" applyFill="1" applyBorder="1" applyAlignment="1">
      <alignment horizontal="right" vertical="center" wrapText="1"/>
    </xf>
    <xf numFmtId="185" fontId="21" fillId="5" borderId="3" xfId="0" applyNumberFormat="1" applyFont="1" applyFill="1" applyBorder="1" applyAlignment="1">
      <alignment horizontal="right" vertical="center" wrapText="1"/>
    </xf>
    <xf numFmtId="186" fontId="21" fillId="0" borderId="3" xfId="1" applyNumberFormat="1" applyFont="1" applyFill="1" applyBorder="1" applyAlignment="1">
      <alignment horizontal="center" vertical="center"/>
    </xf>
    <xf numFmtId="186" fontId="21" fillId="5" borderId="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" applyNumberFormat="1" applyFont="1" applyBorder="1" applyAlignment="1">
      <alignment horizontal="center" vertical="center" wrapText="1" shrinkToFi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7" fontId="21" fillId="0" borderId="0" xfId="0" applyNumberFormat="1" applyFont="1">
      <alignment vertical="center"/>
    </xf>
    <xf numFmtId="183" fontId="27" fillId="5" borderId="3" xfId="0" applyNumberFormat="1" applyFont="1" applyFill="1" applyBorder="1" applyAlignment="1">
      <alignment horizontal="center" vertical="center" wrapText="1"/>
    </xf>
    <xf numFmtId="177" fontId="28" fillId="5" borderId="3" xfId="1" applyFont="1" applyFill="1" applyBorder="1" applyAlignment="1">
      <alignment horizontal="right" vertical="center"/>
    </xf>
    <xf numFmtId="185" fontId="27" fillId="5" borderId="3" xfId="1" applyNumberFormat="1" applyFont="1" applyFill="1" applyBorder="1" applyAlignment="1">
      <alignment horizontal="right" vertical="center" wrapText="1"/>
    </xf>
    <xf numFmtId="185" fontId="27" fillId="5" borderId="3" xfId="1" applyNumberFormat="1" applyFont="1" applyFill="1" applyBorder="1" applyAlignment="1">
      <alignment horizontal="right" vertical="center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5" sqref="K15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3.5">
      <c r="A3" s="81"/>
      <c r="B3" s="81"/>
      <c r="C3" s="81"/>
      <c r="D3" s="81"/>
      <c r="E3" s="81"/>
      <c r="F3" s="81"/>
      <c r="G3" s="81"/>
      <c r="H3" s="81"/>
    </row>
    <row r="4" spans="1:9" ht="13.5">
      <c r="A4" s="81"/>
      <c r="B4" s="81"/>
      <c r="C4" s="81"/>
      <c r="D4" s="81"/>
      <c r="E4" s="81"/>
      <c r="H4" s="81"/>
    </row>
    <row r="5" spans="1:9" ht="27" customHeight="1">
      <c r="A5" s="82" t="s">
        <v>46</v>
      </c>
      <c r="B5" s="4"/>
      <c r="C5" s="5"/>
      <c r="D5" s="81"/>
      <c r="E5" s="81"/>
      <c r="F5" s="6" t="s">
        <v>37</v>
      </c>
      <c r="G5" s="7" t="s">
        <v>49</v>
      </c>
      <c r="H5" s="81"/>
    </row>
    <row r="6" spans="1:9" ht="27" customHeight="1">
      <c r="A6" s="81"/>
      <c r="B6" s="81"/>
      <c r="C6" s="81"/>
      <c r="D6" s="81"/>
      <c r="E6" s="81"/>
      <c r="F6" s="8" t="s">
        <v>40</v>
      </c>
      <c r="G6" s="9" t="s">
        <v>50</v>
      </c>
      <c r="H6" s="81"/>
    </row>
    <row r="7" spans="1:9" ht="27" customHeight="1">
      <c r="A7" s="123" t="s">
        <v>105</v>
      </c>
      <c r="B7" s="124"/>
      <c r="C7" s="125"/>
      <c r="D7" s="81"/>
      <c r="E7" s="10"/>
      <c r="F7" s="11" t="s">
        <v>41</v>
      </c>
      <c r="G7" s="9" t="s">
        <v>51</v>
      </c>
      <c r="H7" s="81"/>
    </row>
    <row r="8" spans="1:9" ht="27" customHeight="1">
      <c r="A8" s="81"/>
      <c r="B8" s="81"/>
      <c r="C8" s="81"/>
      <c r="D8" s="81"/>
      <c r="E8" s="81"/>
      <c r="F8" s="8" t="s">
        <v>42</v>
      </c>
      <c r="G8" s="9" t="s">
        <v>52</v>
      </c>
      <c r="H8" s="81"/>
    </row>
    <row r="9" spans="1:9" ht="27" customHeight="1">
      <c r="A9" s="123" t="s">
        <v>106</v>
      </c>
      <c r="B9" s="124"/>
      <c r="C9" s="125"/>
      <c r="D9" s="81"/>
      <c r="E9" s="81"/>
      <c r="F9" s="8" t="s">
        <v>43</v>
      </c>
      <c r="G9" s="9" t="s">
        <v>53</v>
      </c>
      <c r="H9" s="81"/>
    </row>
    <row r="10" spans="1:9" ht="27" customHeight="1">
      <c r="A10" s="81"/>
      <c r="B10" s="81"/>
      <c r="C10" s="81"/>
      <c r="D10" s="81"/>
      <c r="E10" s="81"/>
      <c r="F10" s="12" t="s">
        <v>38</v>
      </c>
      <c r="G10" s="13" t="s">
        <v>54</v>
      </c>
      <c r="H10" s="81"/>
      <c r="I10" s="81"/>
    </row>
    <row r="11" spans="1:9" ht="27" customHeight="1">
      <c r="A11" s="121"/>
      <c r="B11" s="122"/>
      <c r="C11" s="122"/>
      <c r="D11" s="81"/>
      <c r="E11" s="14"/>
      <c r="F11" s="15" t="s">
        <v>39</v>
      </c>
      <c r="G11" s="16" t="s">
        <v>55</v>
      </c>
      <c r="H11" s="14"/>
    </row>
    <row r="12" spans="1:9" ht="19.5" thickBot="1">
      <c r="A12" s="17" t="s">
        <v>7</v>
      </c>
      <c r="B12" s="17" t="str">
        <f>NUMBERSTRING(F31,1)</f>
        <v>팔십삼만이천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140675.79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561543.01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702218.8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3" t="s">
        <v>23</v>
      </c>
      <c r="C21" s="114" t="s">
        <v>103</v>
      </c>
      <c r="D21" s="115">
        <v>1</v>
      </c>
      <c r="E21" s="115" t="s">
        <v>24</v>
      </c>
      <c r="F21" s="116">
        <f>F17*4.75%</f>
        <v>26673.292975</v>
      </c>
      <c r="G21" s="35" t="s">
        <v>25</v>
      </c>
    </row>
    <row r="22" spans="1:7" ht="33" customHeight="1">
      <c r="A22" s="29"/>
      <c r="B22" s="117" t="s">
        <v>26</v>
      </c>
      <c r="C22" s="114" t="s">
        <v>104</v>
      </c>
      <c r="D22" s="118">
        <v>1</v>
      </c>
      <c r="E22" s="118" t="s">
        <v>24</v>
      </c>
      <c r="F22" s="119">
        <f>F17*3.595%</f>
        <v>20187.471209500003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2614.2775216302507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5671.5844010000001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19990.931155999999</v>
      </c>
      <c r="G25" s="35" t="s">
        <v>27</v>
      </c>
    </row>
    <row r="26" spans="1:7" ht="33" customHeight="1">
      <c r="A26" s="29"/>
      <c r="B26" s="42" t="s">
        <v>31</v>
      </c>
      <c r="C26" s="45" t="s">
        <v>96</v>
      </c>
      <c r="D26" s="30">
        <v>1</v>
      </c>
      <c r="E26" s="30" t="s">
        <v>24</v>
      </c>
      <c r="F26" s="43">
        <f>(F16+F17)*3.11%</f>
        <v>21839.004680000002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32925.978597156514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129902.54054028678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832121.34054028685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832000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7"/>
  <sheetViews>
    <sheetView showGridLines="0" zoomScale="85" zoomScaleNormal="85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1.25" style="107" bestFit="1" customWidth="1"/>
    <col min="2" max="5" width="17.75" style="98" hidden="1" customWidth="1"/>
    <col min="6" max="7" width="30.625" style="92" customWidth="1"/>
    <col min="8" max="8" width="11.375" style="98" bestFit="1" customWidth="1"/>
    <col min="9" max="9" width="7" style="98" bestFit="1" customWidth="1"/>
    <col min="10" max="10" width="10.875" style="98" bestFit="1" customWidth="1"/>
    <col min="11" max="11" width="13.5" style="98" bestFit="1" customWidth="1"/>
    <col min="12" max="12" width="9.25" style="98" bestFit="1" customWidth="1"/>
    <col min="13" max="13" width="13.5" style="98" bestFit="1" customWidth="1"/>
    <col min="14" max="14" width="6.125" style="98" customWidth="1"/>
    <col min="15" max="15" width="8.25" style="98" bestFit="1" customWidth="1"/>
    <col min="16" max="16" width="6.125" style="98" customWidth="1"/>
    <col min="17" max="17" width="8.25" style="98" bestFit="1" customWidth="1"/>
    <col min="18" max="18" width="16" style="98" bestFit="1" customWidth="1"/>
    <col min="19" max="19" width="10.75" style="62" bestFit="1" customWidth="1"/>
    <col min="20" max="20" width="9.125" style="98" bestFit="1" customWidth="1"/>
    <col min="21" max="16384" width="9" style="98"/>
  </cols>
  <sheetData>
    <row r="1" spans="1:20" ht="19.899999999999999" customHeight="1">
      <c r="A1" s="126"/>
      <c r="B1" s="126"/>
      <c r="C1" s="126"/>
      <c r="D1" s="126"/>
      <c r="E1" s="126"/>
      <c r="J1" s="62"/>
      <c r="K1" s="97" t="s">
        <v>62</v>
      </c>
      <c r="M1" s="97" t="s">
        <v>62</v>
      </c>
      <c r="O1" s="97" t="s">
        <v>62</v>
      </c>
      <c r="Q1" s="97" t="s">
        <v>62</v>
      </c>
    </row>
    <row r="2" spans="1:20" ht="19.899999999999999" customHeight="1" thickBot="1">
      <c r="A2" s="126"/>
      <c r="B2" s="126"/>
      <c r="C2" s="126"/>
      <c r="D2" s="126"/>
      <c r="E2" s="12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9"/>
      <c r="B3" s="99" t="s">
        <v>63</v>
      </c>
      <c r="C3" s="100"/>
      <c r="D3" s="100"/>
      <c r="E3" s="100"/>
      <c r="F3" s="137" t="s">
        <v>64</v>
      </c>
      <c r="G3" s="137"/>
      <c r="H3" s="135" t="s">
        <v>65</v>
      </c>
      <c r="I3" s="135" t="s">
        <v>5</v>
      </c>
      <c r="J3" s="131" t="s">
        <v>66</v>
      </c>
      <c r="K3" s="131"/>
      <c r="L3" s="131" t="s">
        <v>67</v>
      </c>
      <c r="M3" s="131"/>
      <c r="N3" s="132" t="s">
        <v>68</v>
      </c>
      <c r="O3" s="132"/>
      <c r="P3" s="132" t="s">
        <v>69</v>
      </c>
      <c r="Q3" s="132"/>
      <c r="R3" s="133" t="s">
        <v>70</v>
      </c>
      <c r="S3" s="129" t="s">
        <v>71</v>
      </c>
      <c r="T3" s="127" t="s">
        <v>44</v>
      </c>
    </row>
    <row r="4" spans="1:20" ht="19.899999999999999" customHeight="1">
      <c r="A4" s="65" t="s">
        <v>72</v>
      </c>
      <c r="B4" s="66" t="s">
        <v>73</v>
      </c>
      <c r="C4" s="66" t="s">
        <v>74</v>
      </c>
      <c r="D4" s="66" t="s">
        <v>75</v>
      </c>
      <c r="E4" s="66" t="s">
        <v>76</v>
      </c>
      <c r="F4" s="93" t="s">
        <v>77</v>
      </c>
      <c r="G4" s="93" t="s">
        <v>78</v>
      </c>
      <c r="H4" s="136"/>
      <c r="I4" s="136"/>
      <c r="J4" s="67" t="s">
        <v>79</v>
      </c>
      <c r="K4" s="68" t="s">
        <v>80</v>
      </c>
      <c r="L4" s="67" t="s">
        <v>81</v>
      </c>
      <c r="M4" s="68" t="s">
        <v>80</v>
      </c>
      <c r="N4" s="68" t="s">
        <v>82</v>
      </c>
      <c r="O4" s="68" t="s">
        <v>80</v>
      </c>
      <c r="P4" s="68" t="s">
        <v>82</v>
      </c>
      <c r="Q4" s="68" t="s">
        <v>80</v>
      </c>
      <c r="R4" s="134"/>
      <c r="S4" s="130"/>
      <c r="T4" s="128"/>
    </row>
    <row r="5" spans="1:20" s="101" customFormat="1" ht="38.1" customHeight="1">
      <c r="A5" s="69" t="str">
        <f t="shared" ref="A5" si="0">B5&amp;C5&amp;D5&amp;E5</f>
        <v>L002</v>
      </c>
      <c r="B5" s="70"/>
      <c r="C5" s="83"/>
      <c r="D5" s="66"/>
      <c r="E5" s="70" t="s">
        <v>100</v>
      </c>
      <c r="F5" s="94" t="s">
        <v>101</v>
      </c>
      <c r="G5" s="94" t="s">
        <v>102</v>
      </c>
      <c r="H5" s="84" t="s">
        <v>56</v>
      </c>
      <c r="I5" s="91">
        <v>0.5</v>
      </c>
      <c r="J5" s="86"/>
      <c r="K5" s="87">
        <f t="shared" ref="K5" si="1">SUM(J5:J5)*I5*$K$2</f>
        <v>0</v>
      </c>
      <c r="L5" s="109">
        <v>224490</v>
      </c>
      <c r="M5" s="87">
        <f>I5*L5</f>
        <v>112245</v>
      </c>
      <c r="N5" s="88"/>
      <c r="O5" s="87">
        <f t="shared" ref="O5" si="2">N5*I5*$O$2</f>
        <v>0</v>
      </c>
      <c r="P5" s="88"/>
      <c r="Q5" s="87">
        <f t="shared" ref="Q5" si="3">P5*I5*$Q$2</f>
        <v>0</v>
      </c>
      <c r="R5" s="72">
        <f t="shared" ref="R5" si="4">SUM(K5+M5)+O5+Q5</f>
        <v>112245</v>
      </c>
      <c r="S5" s="78"/>
      <c r="T5" s="79"/>
    </row>
    <row r="6" spans="1:20" s="101" customFormat="1" ht="38.1" customHeight="1">
      <c r="A6" s="69" t="str">
        <f t="shared" ref="A6:A12" si="5">B6&amp;C6&amp;D6&amp;E6</f>
        <v>E00000803073010104</v>
      </c>
      <c r="B6" s="70"/>
      <c r="C6" s="83" t="s">
        <v>84</v>
      </c>
      <c r="D6" s="66"/>
      <c r="E6" s="66"/>
      <c r="F6" s="94" t="s">
        <v>85</v>
      </c>
      <c r="G6" s="94" t="s">
        <v>86</v>
      </c>
      <c r="H6" s="84" t="s">
        <v>87</v>
      </c>
      <c r="I6" s="90">
        <v>2</v>
      </c>
      <c r="J6" s="86"/>
      <c r="K6" s="87">
        <f t="shared" ref="K6:K12" si="6">SUM(J6:J6)*I6*$K$2</f>
        <v>0</v>
      </c>
      <c r="L6" s="112">
        <v>11955</v>
      </c>
      <c r="M6" s="87">
        <f t="shared" ref="M6:M10" si="7">(L6*I6)*$M$2</f>
        <v>19964.849999999999</v>
      </c>
      <c r="N6" s="88"/>
      <c r="O6" s="87">
        <f t="shared" ref="O6:O11" si="8">N6*I6*$O$2</f>
        <v>0</v>
      </c>
      <c r="P6" s="88"/>
      <c r="Q6" s="87">
        <f t="shared" ref="Q6:Q11" si="9">P6*I6*$Q$2</f>
        <v>0</v>
      </c>
      <c r="R6" s="72">
        <f t="shared" ref="R6:R11" si="10">SUM(K6+M6)+O6+Q6</f>
        <v>19964.849999999999</v>
      </c>
      <c r="S6" s="78"/>
      <c r="T6" s="79"/>
    </row>
    <row r="7" spans="1:20" s="101" customFormat="1" ht="38.1" customHeight="1">
      <c r="A7" s="69" t="str">
        <f t="shared" si="5"/>
        <v>E00000803073021001</v>
      </c>
      <c r="B7" s="70"/>
      <c r="C7" s="83" t="s">
        <v>88</v>
      </c>
      <c r="D7" s="66"/>
      <c r="E7" s="66"/>
      <c r="F7" s="94" t="s">
        <v>89</v>
      </c>
      <c r="G7" s="94" t="s">
        <v>90</v>
      </c>
      <c r="H7" s="84" t="s">
        <v>87</v>
      </c>
      <c r="I7" s="90">
        <v>2</v>
      </c>
      <c r="J7" s="110">
        <v>1037</v>
      </c>
      <c r="K7" s="87">
        <f t="shared" si="6"/>
        <v>1731.79</v>
      </c>
      <c r="L7" s="110">
        <v>34592</v>
      </c>
      <c r="M7" s="87">
        <f t="shared" si="7"/>
        <v>57768.639999999999</v>
      </c>
      <c r="N7" s="88"/>
      <c r="O7" s="87">
        <f t="shared" si="8"/>
        <v>0</v>
      </c>
      <c r="P7" s="88"/>
      <c r="Q7" s="87">
        <f t="shared" si="9"/>
        <v>0</v>
      </c>
      <c r="R7" s="72">
        <f t="shared" si="10"/>
        <v>59500.43</v>
      </c>
      <c r="S7" s="78"/>
      <c r="T7" s="79"/>
    </row>
    <row r="8" spans="1:20" s="101" customFormat="1" ht="38.1" customHeight="1">
      <c r="A8" s="69" t="str">
        <f t="shared" si="5"/>
        <v>E00000803073030101</v>
      </c>
      <c r="B8" s="70"/>
      <c r="C8" s="83" t="s">
        <v>91</v>
      </c>
      <c r="D8" s="66"/>
      <c r="E8" s="66"/>
      <c r="F8" s="94" t="s">
        <v>92</v>
      </c>
      <c r="G8" s="94"/>
      <c r="H8" s="84" t="s">
        <v>93</v>
      </c>
      <c r="I8" s="90">
        <v>8</v>
      </c>
      <c r="J8" s="86"/>
      <c r="K8" s="87">
        <f t="shared" si="6"/>
        <v>0</v>
      </c>
      <c r="L8" s="110">
        <v>5214</v>
      </c>
      <c r="M8" s="87">
        <f t="shared" si="7"/>
        <v>34829.519999999997</v>
      </c>
      <c r="N8" s="88"/>
      <c r="O8" s="87">
        <f t="shared" si="8"/>
        <v>0</v>
      </c>
      <c r="P8" s="88"/>
      <c r="Q8" s="87">
        <f t="shared" si="9"/>
        <v>0</v>
      </c>
      <c r="R8" s="72">
        <f t="shared" si="10"/>
        <v>34829.519999999997</v>
      </c>
      <c r="S8" s="78"/>
      <c r="T8" s="79"/>
    </row>
    <row r="9" spans="1:20" s="101" customFormat="1" ht="38.1" customHeight="1">
      <c r="A9" s="69" t="str">
        <f t="shared" si="5"/>
        <v>M020251411760101</v>
      </c>
      <c r="B9" s="70"/>
      <c r="C9" s="66"/>
      <c r="D9" s="83" t="s">
        <v>94</v>
      </c>
      <c r="E9" s="66"/>
      <c r="F9" s="94" t="s">
        <v>60</v>
      </c>
      <c r="G9" s="94" t="s">
        <v>61</v>
      </c>
      <c r="H9" s="84" t="s">
        <v>95</v>
      </c>
      <c r="I9" s="90">
        <v>4</v>
      </c>
      <c r="J9" s="111">
        <v>5000</v>
      </c>
      <c r="K9" s="87">
        <f t="shared" si="6"/>
        <v>16700</v>
      </c>
      <c r="L9" s="89"/>
      <c r="M9" s="87">
        <f t="shared" si="7"/>
        <v>0</v>
      </c>
      <c r="N9" s="88"/>
      <c r="O9" s="87">
        <f t="shared" si="8"/>
        <v>0</v>
      </c>
      <c r="P9" s="88"/>
      <c r="Q9" s="87">
        <f t="shared" si="9"/>
        <v>0</v>
      </c>
      <c r="R9" s="72">
        <f t="shared" si="10"/>
        <v>16700</v>
      </c>
      <c r="S9" s="78"/>
      <c r="T9" s="79"/>
    </row>
    <row r="10" spans="1:20" s="101" customFormat="1" ht="38.1" customHeight="1">
      <c r="A10" s="69" t="str">
        <f t="shared" ref="A10" si="11">B10&amp;C10&amp;D10&amp;E10</f>
        <v>M060302210060101</v>
      </c>
      <c r="B10" s="70"/>
      <c r="C10" s="66"/>
      <c r="D10" s="83" t="s">
        <v>97</v>
      </c>
      <c r="E10" s="66"/>
      <c r="F10" s="94" t="s">
        <v>98</v>
      </c>
      <c r="G10" s="94" t="s">
        <v>99</v>
      </c>
      <c r="H10" s="84" t="s">
        <v>83</v>
      </c>
      <c r="I10" s="91">
        <v>1</v>
      </c>
      <c r="J10" s="111">
        <v>146400</v>
      </c>
      <c r="K10" s="87">
        <f t="shared" ref="K10" si="12">SUM(J10:J10)*I10*$K$2</f>
        <v>122244</v>
      </c>
      <c r="L10" s="89"/>
      <c r="M10" s="87">
        <f t="shared" si="7"/>
        <v>0</v>
      </c>
      <c r="N10" s="88"/>
      <c r="O10" s="87">
        <f t="shared" si="8"/>
        <v>0</v>
      </c>
      <c r="P10" s="88"/>
      <c r="Q10" s="87">
        <f t="shared" si="9"/>
        <v>0</v>
      </c>
      <c r="R10" s="72">
        <f t="shared" si="10"/>
        <v>122244</v>
      </c>
      <c r="S10" s="78"/>
      <c r="T10" s="79"/>
    </row>
    <row r="11" spans="1:20" s="101" customFormat="1" ht="38.1" customHeight="1">
      <c r="A11" s="69" t="str">
        <f t="shared" si="5"/>
        <v>L003</v>
      </c>
      <c r="B11" s="70"/>
      <c r="C11" s="66"/>
      <c r="D11" s="66"/>
      <c r="E11" s="70" t="s">
        <v>58</v>
      </c>
      <c r="F11" s="95" t="s">
        <v>59</v>
      </c>
      <c r="G11" s="95" t="s">
        <v>57</v>
      </c>
      <c r="H11" s="84" t="s">
        <v>56</v>
      </c>
      <c r="I11" s="90">
        <v>1</v>
      </c>
      <c r="J11" s="73"/>
      <c r="K11" s="71">
        <f t="shared" si="6"/>
        <v>0</v>
      </c>
      <c r="L11" s="109">
        <v>224490</v>
      </c>
      <c r="M11" s="71">
        <f>I11*L11</f>
        <v>224490</v>
      </c>
      <c r="N11" s="72"/>
      <c r="O11" s="71">
        <f t="shared" si="8"/>
        <v>0</v>
      </c>
      <c r="P11" s="72"/>
      <c r="Q11" s="71">
        <f t="shared" si="9"/>
        <v>0</v>
      </c>
      <c r="R11" s="72">
        <f t="shared" si="10"/>
        <v>224490</v>
      </c>
      <c r="S11" s="78"/>
      <c r="T11" s="79"/>
    </row>
    <row r="12" spans="1:20" s="101" customFormat="1" ht="38.1" customHeight="1">
      <c r="A12" s="69" t="str">
        <f t="shared" si="5"/>
        <v>L003</v>
      </c>
      <c r="B12" s="70"/>
      <c r="C12" s="66"/>
      <c r="D12" s="66"/>
      <c r="E12" s="70" t="s">
        <v>58</v>
      </c>
      <c r="F12" s="95" t="s">
        <v>59</v>
      </c>
      <c r="G12" s="95" t="s">
        <v>57</v>
      </c>
      <c r="H12" s="84" t="s">
        <v>56</v>
      </c>
      <c r="I12" s="90">
        <v>0.5</v>
      </c>
      <c r="J12" s="73"/>
      <c r="K12" s="71">
        <f t="shared" si="6"/>
        <v>0</v>
      </c>
      <c r="L12" s="109">
        <v>224490</v>
      </c>
      <c r="M12" s="71">
        <f>I12*L12</f>
        <v>112245</v>
      </c>
      <c r="N12" s="72"/>
      <c r="O12" s="71">
        <f t="shared" ref="O12" si="13">N12*I12*$O$2</f>
        <v>0</v>
      </c>
      <c r="P12" s="72"/>
      <c r="Q12" s="71">
        <f t="shared" ref="Q12" si="14">P12*I12*$Q$2</f>
        <v>0</v>
      </c>
      <c r="R12" s="72">
        <f t="shared" ref="R12" si="15">SUM(K12+M12)+O12+Q12</f>
        <v>112245</v>
      </c>
      <c r="S12" s="78"/>
      <c r="T12" s="79"/>
    </row>
    <row r="13" spans="1:20" s="103" customFormat="1" ht="38.1" customHeight="1">
      <c r="A13" s="102"/>
      <c r="F13" s="96"/>
      <c r="G13" s="96"/>
      <c r="K13" s="104">
        <f>SUM(K5:K12)</f>
        <v>140675.79</v>
      </c>
      <c r="L13" s="105"/>
      <c r="M13" s="104">
        <f>SUM(M5:M12)</f>
        <v>561543.01</v>
      </c>
      <c r="N13" s="105"/>
      <c r="O13" s="104">
        <f>SUM(O5:O12)</f>
        <v>0</v>
      </c>
      <c r="P13" s="105"/>
      <c r="Q13" s="104">
        <f>SUM(Q5:Q12)</f>
        <v>0</v>
      </c>
      <c r="R13" s="106">
        <f>SUM(R5:R12)</f>
        <v>702218.8</v>
      </c>
      <c r="S13" s="74"/>
    </row>
    <row r="17" spans="13:13" ht="38.1" customHeight="1">
      <c r="M17" s="10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I30" sqref="I30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5"/>
  </cols>
  <sheetData>
    <row r="1" spans="1:6" ht="18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>
      <c r="A2" s="76" t="str">
        <f>'내역서(표준단가)'!A5</f>
        <v>L002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L002</v>
      </c>
      <c r="F2" s="80">
        <f>'내역서(표준단가)'!I5</f>
        <v>0.5</v>
      </c>
    </row>
    <row r="3" spans="1:6">
      <c r="A3" s="76" t="str">
        <f>'내역서(표준단가)'!A6</f>
        <v>E00000803073010104</v>
      </c>
      <c r="B3" s="77">
        <f>'내역서(표준단가)'!B6</f>
        <v>0</v>
      </c>
      <c r="C3" s="77" t="str">
        <f>'내역서(표준단가)'!C6</f>
        <v>E00000803073010104</v>
      </c>
      <c r="D3" s="77">
        <f>'내역서(표준단가)'!D6</f>
        <v>0</v>
      </c>
      <c r="E3" s="77">
        <f>'내역서(표준단가)'!E6</f>
        <v>0</v>
      </c>
      <c r="F3" s="80">
        <f>'내역서(표준단가)'!I6</f>
        <v>2</v>
      </c>
    </row>
    <row r="4" spans="1:6">
      <c r="A4" s="76" t="str">
        <f>'내역서(표준단가)'!A7</f>
        <v>E00000803073021001</v>
      </c>
      <c r="B4" s="77">
        <f>'내역서(표준단가)'!B7</f>
        <v>0</v>
      </c>
      <c r="C4" s="77" t="str">
        <f>'내역서(표준단가)'!C7</f>
        <v>E00000803073021001</v>
      </c>
      <c r="D4" s="77">
        <f>'내역서(표준단가)'!D7</f>
        <v>0</v>
      </c>
      <c r="E4" s="77">
        <f>'내역서(표준단가)'!E7</f>
        <v>0</v>
      </c>
      <c r="F4" s="80">
        <f>'내역서(표준단가)'!I7</f>
        <v>2</v>
      </c>
    </row>
    <row r="5" spans="1:6">
      <c r="A5" s="76" t="str">
        <f>'내역서(표준단가)'!A8</f>
        <v>E00000803073030101</v>
      </c>
      <c r="B5" s="77">
        <f>'내역서(표준단가)'!B8</f>
        <v>0</v>
      </c>
      <c r="C5" s="77" t="str">
        <f>'내역서(표준단가)'!C8</f>
        <v>E00000803073030101</v>
      </c>
      <c r="D5" s="77">
        <f>'내역서(표준단가)'!D8</f>
        <v>0</v>
      </c>
      <c r="E5" s="77">
        <f>'내역서(표준단가)'!E8</f>
        <v>0</v>
      </c>
      <c r="F5" s="80">
        <f>'내역서(표준단가)'!I8</f>
        <v>8</v>
      </c>
    </row>
    <row r="6" spans="1:6">
      <c r="A6" s="76" t="str">
        <f>'내역서(표준단가)'!A9</f>
        <v>M020251411760101</v>
      </c>
      <c r="B6" s="77">
        <f>'내역서(표준단가)'!B9</f>
        <v>0</v>
      </c>
      <c r="C6" s="77">
        <f>'내역서(표준단가)'!C9</f>
        <v>0</v>
      </c>
      <c r="D6" s="77" t="str">
        <f>'내역서(표준단가)'!D9</f>
        <v>M020251411760101</v>
      </c>
      <c r="E6" s="77">
        <f>'내역서(표준단가)'!E9</f>
        <v>0</v>
      </c>
      <c r="F6" s="80">
        <f>'내역서(표준단가)'!I9</f>
        <v>4</v>
      </c>
    </row>
    <row r="7" spans="1:6">
      <c r="A7" s="76" t="str">
        <f>'내역서(표준단가)'!A10</f>
        <v>M060302210060101</v>
      </c>
      <c r="B7" s="77">
        <f>'내역서(표준단가)'!B10</f>
        <v>0</v>
      </c>
      <c r="C7" s="77">
        <f>'내역서(표준단가)'!C10</f>
        <v>0</v>
      </c>
      <c r="D7" s="77" t="str">
        <f>'내역서(표준단가)'!D10</f>
        <v>M060302210060101</v>
      </c>
      <c r="E7" s="77">
        <f>'내역서(표준단가)'!E10</f>
        <v>0</v>
      </c>
      <c r="F7" s="80">
        <f>'내역서(표준단가)'!I10</f>
        <v>1</v>
      </c>
    </row>
    <row r="8" spans="1:6">
      <c r="A8" s="76" t="str">
        <f>'내역서(표준단가)'!A11</f>
        <v>L003</v>
      </c>
      <c r="B8" s="77">
        <f>'내역서(표준단가)'!B11</f>
        <v>0</v>
      </c>
      <c r="C8" s="77">
        <f>'내역서(표준단가)'!C11</f>
        <v>0</v>
      </c>
      <c r="D8" s="77">
        <f>'내역서(표준단가)'!D11</f>
        <v>0</v>
      </c>
      <c r="E8" s="77" t="str">
        <f>'내역서(표준단가)'!E11</f>
        <v>L003</v>
      </c>
      <c r="F8" s="80">
        <f>'내역서(표준단가)'!I11</f>
        <v>1</v>
      </c>
    </row>
    <row r="9" spans="1:6">
      <c r="A9" s="76" t="str">
        <f>'내역서(표준단가)'!A12</f>
        <v>L003</v>
      </c>
      <c r="B9" s="77">
        <f>'내역서(표준단가)'!B12</f>
        <v>0</v>
      </c>
      <c r="C9" s="77">
        <f>'내역서(표준단가)'!C12</f>
        <v>0</v>
      </c>
      <c r="D9" s="77">
        <f>'내역서(표준단가)'!D12</f>
        <v>0</v>
      </c>
      <c r="E9" s="77" t="str">
        <f>'내역서(표준단가)'!E12</f>
        <v>L003</v>
      </c>
      <c r="F9" s="80">
        <f>'내역서(표준단가)'!I12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2026-01-20T04:06:55Z</dcterms:created>
  <dcterms:modified xsi:type="dcterms:W3CDTF">2026-02-25T00:24:38Z</dcterms:modified>
</cp:coreProperties>
</file>
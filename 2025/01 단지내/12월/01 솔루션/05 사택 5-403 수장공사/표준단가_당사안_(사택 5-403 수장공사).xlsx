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16\06 작업폴더\01 사택 5-403 수장공사\"/>
    </mc:Choice>
  </mc:AlternateContent>
  <xr:revisionPtr revIDLastSave="0" documentId="13_ncr:1_{2C3B5D3D-FF24-4EEF-8D5A-DF677033778B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/>
  <c r="P6" i="9" l="1"/>
  <c r="P5" i="9"/>
  <c r="P7" i="9" s="1"/>
  <c r="F2" i="1" l="1"/>
  <c r="E2" i="1"/>
  <c r="D2" i="1"/>
  <c r="C2" i="1"/>
  <c r="B2" i="1"/>
  <c r="U5" i="4" l="1"/>
  <c r="S5" i="4"/>
  <c r="Q5" i="4"/>
  <c r="O5" i="4"/>
  <c r="A5" i="4"/>
  <c r="A2" i="1" s="1"/>
  <c r="V5" i="4" l="1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17" i="4" l="1"/>
  <c r="V6" i="4"/>
  <c r="V7" i="4"/>
  <c r="A12" i="4" l="1"/>
  <c r="A9" i="1" s="1"/>
  <c r="F25" i="9"/>
  <c r="N25" i="9" s="1"/>
  <c r="F20" i="9"/>
  <c r="N20" i="9" s="1"/>
  <c r="O12" i="4"/>
  <c r="S12" i="4"/>
  <c r="U12" i="4"/>
  <c r="O9" i="4"/>
  <c r="V9" i="4" s="1"/>
  <c r="A9" i="4"/>
  <c r="A6" i="1" s="1"/>
  <c r="V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F17" i="5" s="1"/>
  <c r="V8" i="4"/>
  <c r="V11" i="4"/>
  <c r="V14" i="4"/>
  <c r="V15" i="4"/>
  <c r="V10" i="4"/>
  <c r="V13" i="4"/>
  <c r="V16" i="4"/>
  <c r="U18" i="4" l="1"/>
  <c r="O18" i="4"/>
  <c r="S18" i="4"/>
  <c r="F16" i="5" l="1"/>
  <c r="F26" i="5" s="1"/>
  <c r="F18" i="5"/>
  <c r="V1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<sst xmlns="http://schemas.openxmlformats.org/spreadsheetml/2006/main" count="236" uniqueCount="170">
  <si>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</si>
  <si>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</si>
  <si>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</si>
  <si>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</si>
  <si>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</si>
  <si>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</si>
  <si>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</si>
  <si>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</si>
  <si>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</si>
  <si>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</si>
  <si>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</si>
  <si>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</si>
  <si>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</si>
  <si>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</si>
  <si>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</si>
  <si>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</si>
  <si>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</si>
  <si>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</si>
  <si>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</si>
  <si>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</si>
  <si>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</si>
  <si>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</si>
  <si>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</si>
  <si>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</si>
  <si>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</si>
  <si>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</si>
  <si>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</si>
  <si>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</si>
  <si>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</si>
  <si>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</si>
  <si>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</si>
  <si>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</si>
  <si>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</si>
  <si>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</si>
  <si>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</si>
  <si>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</si>
  <si>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</si>
  <si>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</si>
  <si>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</si>
  <si>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</si>
  <si>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</si>
  <si>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</si>
  <si>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</si>
  <si>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</si>
  <si>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</si>
  <si>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</si>
  <si>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</si>
  <si>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</si>
  <si>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</si>
  <si>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</si>
  <si>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</si>
  <si>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</si>
  <si>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</si>
  <si>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</si>
  <si>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</si>
  <si>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</si>
  <si>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</si>
  <si>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</si>
  <si>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</si>
  <si>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</si>
  <si>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</si>
  <si>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</si>
  <si>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</si>
  <si>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</si>
  <si>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</si>
  <si>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</si>
  <si>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</si>
  <si>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</si>
  <si>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</si>
  <si>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</si>
  <si>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</si>
  <si>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</si>
  <si>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</si>
  <si>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</si>
  <si>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</si>
  <si>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</si>
  <si>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</si>
  <si>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</si>
  <si>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</si>
  <si>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</si>
  <si>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</si>
  <si>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</si>
  <si>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</si>
  <si>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</si>
  <si>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</si>
  <si>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</si>
  <si>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</si>
  <si>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</si>
  <si>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</si>
  <si>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</si>
  <si>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</si>
  <si>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</si>
  <si>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</si>
  <si>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</si>
  <si>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</si>
  <si>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</si>
  <si>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</si>
  <si>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</si>
  <si>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</si>
  <si>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</si>
  <si>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</si>
  <si>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</si>
  <si>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</si>
  <si>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</si>
  <si>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</si>
  <si>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</si>
  <si>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</si>
  <si>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</si>
  <si>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</si>
  <si>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</si>
  <si>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</si>
  <si>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</si>
  <si>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</si>
  <si>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</si>
  <si>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</si>
  <si>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</si>
  <si>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</si>
  <si>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</si>
  <si>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</si>
  <si>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</si>
  <si>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</si>
  <si>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</si>
  <si>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</si>
  <si>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</si>
  <si>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</si>
  <si>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</si>
  <si>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</si>
  <si>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</si>
  <si>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</si>
  <si>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</si>
  <si>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</si>
  <si>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</si>
  <si>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</si>
  <si>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</si>
  <si>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</si>
  <si>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</si>
  <si>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</si>
  <si>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</si>
  <si>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</si>
  <si>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</si>
  <si>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</si>
  <si>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</si>
  <si>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</si>
  <si>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</si>
  <si>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</si>
  <si>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</si>
  <si>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</si>
  <si>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</si>
  <si>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</si>
  <si>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</si>
  <si>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</si>
  <si>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</si>
  <si>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</si>
  <si>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</si>
  <si>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</si>
  <si>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</si>
  <si>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</si>
  <si>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</si>
  <si>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</si>
  <si>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</si>
  <si>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</si>
  <si>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</si>
  <si>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</si>
  <si>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</si>
  <si>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</si>
  <si>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(거실 촤측방)</t>
    </r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</si>
  <si>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소요량120/16.51=7.2684R/L</t>
    </r>
    <phoneticPr fontId="5" type="noConversion"/>
  </si>
  <si>
    <t xml:space="preserve"> 공사명 : 사택 5-403 수장공사</t>
    <phoneticPr fontId="11" type="noConversion"/>
  </si>
  <si>
    <t xml:space="preserve"> 견적일 : 2025 년  10월  15일</t>
    <phoneticPr fontId="11" type="noConversion"/>
  </si>
  <si>
    <t>공사명 : 사택 5-403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</si>
</sst>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91" fontId="24" fillId="5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9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86" fontId="20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5" t="s">
        <v>167</v>
      </c>
      <c r="B7" s="176"/>
      <c r="C7" s="177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5" t="s">
        <v>168</v>
      </c>
      <c r="B9" s="176"/>
      <c r="C9" s="177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3"/>
      <c r="B11" s="174"/>
      <c r="C11" s="174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삼백구십만칠천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'내역서(표준단가)'!O18</f>
        <v>729305.33259999997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'내역서(표준단가)'!Q18</f>
        <v>2585599.2287040004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3314904.5613040002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116351.96529168001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91659.492657556824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11869.90429915361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26114.552209910402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92047.332541862415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151</v>
      </c>
      <c r="D26" s="30">
        <v>1</v>
      </c>
      <c r="E26" s="30" t="s">
        <v>25</v>
      </c>
      <c r="F26" s="43">
        <f>(F16+F17)*3.11%</f>
        <v>103093.5318565544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151336.8003780359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592473.57923475362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3907378.1405387539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3907000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AA10" sqref="AA10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44" t="s">
        <v>99</v>
      </c>
      <c r="Q1" s="144" t="s">
        <v>99</v>
      </c>
      <c r="S1" s="144" t="s">
        <v>99</v>
      </c>
      <c r="U1" s="144" t="s">
        <v>99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100</v>
      </c>
      <c r="G3" s="148"/>
      <c r="H3" s="148"/>
      <c r="I3" s="148"/>
      <c r="J3" s="189" t="s">
        <v>101</v>
      </c>
      <c r="K3" s="189"/>
      <c r="L3" s="187" t="s">
        <v>47</v>
      </c>
      <c r="M3" s="187" t="s">
        <v>5</v>
      </c>
      <c r="N3" s="183" t="s">
        <v>102</v>
      </c>
      <c r="O3" s="183"/>
      <c r="P3" s="183" t="s">
        <v>103</v>
      </c>
      <c r="Q3" s="183"/>
      <c r="R3" s="184" t="s">
        <v>104</v>
      </c>
      <c r="S3" s="184"/>
      <c r="T3" s="184" t="s">
        <v>105</v>
      </c>
      <c r="U3" s="184"/>
      <c r="V3" s="185" t="s">
        <v>106</v>
      </c>
      <c r="W3" s="181" t="s">
        <v>107</v>
      </c>
      <c r="X3" s="179" t="s">
        <v>45</v>
      </c>
    </row>
    <row r="4" spans="1:24" ht="19.899999999999999" customHeight="1" x14ac:dyDescent="0.3">
      <c r="A4" s="69" t="s">
        <v>108</v>
      </c>
      <c r="B4" s="145"/>
      <c r="C4" s="145"/>
      <c r="D4" s="145"/>
      <c r="E4" s="145"/>
      <c r="F4" s="70" t="s">
        <v>109</v>
      </c>
      <c r="G4" s="70" t="s">
        <v>110</v>
      </c>
      <c r="H4" s="70" t="s">
        <v>111</v>
      </c>
      <c r="I4" s="70" t="s">
        <v>112</v>
      </c>
      <c r="J4" s="142" t="s">
        <v>113</v>
      </c>
      <c r="K4" s="142" t="s">
        <v>114</v>
      </c>
      <c r="L4" s="188"/>
      <c r="M4" s="188"/>
      <c r="N4" s="71" t="s">
        <v>115</v>
      </c>
      <c r="O4" s="72" t="s">
        <v>116</v>
      </c>
      <c r="P4" s="71" t="s">
        <v>117</v>
      </c>
      <c r="Q4" s="72" t="s">
        <v>116</v>
      </c>
      <c r="R4" s="72" t="s">
        <v>118</v>
      </c>
      <c r="S4" s="72" t="s">
        <v>116</v>
      </c>
      <c r="T4" s="72" t="s">
        <v>118</v>
      </c>
      <c r="U4" s="72" t="s">
        <v>116</v>
      </c>
      <c r="V4" s="186"/>
      <c r="W4" s="182"/>
      <c r="X4" s="180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156</v>
      </c>
      <c r="I5" s="103"/>
      <c r="J5" s="140" t="s">
        <v>157</v>
      </c>
      <c r="K5" s="140" t="s">
        <v>166</v>
      </c>
      <c r="L5" s="121" t="s">
        <v>162</v>
      </c>
      <c r="M5" s="139">
        <v>7.2683999999999997</v>
      </c>
      <c r="N5" s="161">
        <v>20900</v>
      </c>
      <c r="O5" s="135">
        <f t="shared" ref="O5" si="1">SUM(N5:N5)*M5*$O$2</f>
        <v>126844.48259999999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126844.48259999999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119</v>
      </c>
      <c r="H6" s="74"/>
      <c r="I6" s="103"/>
      <c r="J6" s="140" t="s">
        <v>121</v>
      </c>
      <c r="K6" s="140" t="s">
        <v>163</v>
      </c>
      <c r="L6" s="75" t="s">
        <v>120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" si="12">F7&amp;G7&amp;H7&amp;I7</f>
        <v>M020809012520101</v>
      </c>
      <c r="B7" s="109"/>
      <c r="C7" s="109"/>
      <c r="D7" s="109"/>
      <c r="E7" s="109"/>
      <c r="F7" s="103"/>
      <c r="G7" s="74"/>
      <c r="H7" s="74" t="s">
        <v>152</v>
      </c>
      <c r="I7" s="103"/>
      <c r="J7" s="140" t="s">
        <v>153</v>
      </c>
      <c r="K7" s="140" t="s">
        <v>154</v>
      </c>
      <c r="L7" s="121" t="s">
        <v>155</v>
      </c>
      <c r="M7" s="139">
        <v>51.6</v>
      </c>
      <c r="N7" s="138">
        <v>13000</v>
      </c>
      <c r="O7" s="135">
        <f t="shared" ref="O7:O16" si="13">SUM(N7:N7)*M7*$O$2</f>
        <v>560118</v>
      </c>
      <c r="P7" s="134"/>
      <c r="Q7" s="135">
        <f t="shared" ref="Q7:Q17" si="14">(P7*M7)*$Q$2</f>
        <v>0</v>
      </c>
      <c r="R7" s="136"/>
      <c r="S7" s="135">
        <f t="shared" ref="S7:S17" si="15">R7*M7*$S$2</f>
        <v>0</v>
      </c>
      <c r="T7" s="136"/>
      <c r="U7" s="135">
        <f t="shared" ref="U7:U17" si="16">T7*M7*$U$2</f>
        <v>0</v>
      </c>
      <c r="V7" s="77">
        <f t="shared" ref="V7:V17" si="17">SUM(O7+Q7)+S7+U7</f>
        <v>560118</v>
      </c>
      <c r="W7" s="120"/>
      <c r="X7" s="78"/>
    </row>
    <row r="8" spans="1:24" s="149" customFormat="1" ht="38.1" customHeight="1" x14ac:dyDescent="0.3">
      <c r="A8" s="73" t="str">
        <f t="shared" ref="A8:A17" si="18">F8&amp;G8&amp;H8&amp;I8</f>
        <v>E00000803071260401</v>
      </c>
      <c r="B8" s="109"/>
      <c r="C8" s="109"/>
      <c r="D8" s="109"/>
      <c r="E8" s="109"/>
      <c r="F8" s="103"/>
      <c r="G8" s="74" t="s">
        <v>122</v>
      </c>
      <c r="H8" s="74"/>
      <c r="I8" s="103"/>
      <c r="J8" s="140" t="s">
        <v>123</v>
      </c>
      <c r="K8" s="140" t="s">
        <v>164</v>
      </c>
      <c r="L8" s="75" t="s">
        <v>120</v>
      </c>
      <c r="M8" s="139">
        <v>0.84589999999999999</v>
      </c>
      <c r="N8" s="137"/>
      <c r="O8" s="135">
        <f t="shared" si="13"/>
        <v>0</v>
      </c>
      <c r="P8" s="134">
        <v>487076</v>
      </c>
      <c r="Q8" s="135">
        <f t="shared" si="14"/>
        <v>344034.68631399999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344034.68631399999</v>
      </c>
      <c r="W8" s="120"/>
      <c r="X8" s="78"/>
    </row>
    <row r="9" spans="1:24" s="149" customFormat="1" ht="38.1" customHeight="1" x14ac:dyDescent="0.3">
      <c r="A9" s="73" t="str">
        <f t="shared" si="18"/>
        <v>M020412614110102</v>
      </c>
      <c r="B9" s="109"/>
      <c r="C9" s="109"/>
      <c r="D9" s="109"/>
      <c r="E9" s="109"/>
      <c r="F9" s="103"/>
      <c r="G9" s="74"/>
      <c r="H9" s="162" t="s">
        <v>148</v>
      </c>
      <c r="I9" s="103"/>
      <c r="J9" s="163" t="s">
        <v>147</v>
      </c>
      <c r="K9" s="163" t="s">
        <v>142</v>
      </c>
      <c r="L9" s="131" t="s">
        <v>141</v>
      </c>
      <c r="M9" s="139">
        <v>0.5</v>
      </c>
      <c r="N9" s="164">
        <v>65500</v>
      </c>
      <c r="O9" s="135">
        <f t="shared" si="13"/>
        <v>27346.25</v>
      </c>
      <c r="P9" s="134"/>
      <c r="Q9" s="135"/>
      <c r="R9" s="136"/>
      <c r="S9" s="135"/>
      <c r="T9" s="136"/>
      <c r="U9" s="135"/>
      <c r="V9" s="77">
        <f t="shared" si="17"/>
        <v>27346.25</v>
      </c>
      <c r="W9" s="120"/>
      <c r="X9" s="78"/>
    </row>
    <row r="10" spans="1:24" s="149" customFormat="1" ht="38.1" customHeight="1" x14ac:dyDescent="0.3">
      <c r="A10" s="73" t="str">
        <f t="shared" si="18"/>
        <v>E00000803061120402</v>
      </c>
      <c r="B10" s="109"/>
      <c r="C10" s="109"/>
      <c r="D10" s="109"/>
      <c r="E10" s="109"/>
      <c r="F10" s="103"/>
      <c r="G10" s="74" t="s">
        <v>124</v>
      </c>
      <c r="H10" s="74"/>
      <c r="I10" s="103"/>
      <c r="J10" s="140" t="s">
        <v>125</v>
      </c>
      <c r="K10" s="140" t="s">
        <v>126</v>
      </c>
      <c r="L10" s="121" t="s">
        <v>139</v>
      </c>
      <c r="M10" s="139">
        <v>50</v>
      </c>
      <c r="N10" s="134"/>
      <c r="O10" s="135">
        <f t="shared" si="13"/>
        <v>0</v>
      </c>
      <c r="P10" s="134">
        <v>10432</v>
      </c>
      <c r="Q10" s="135">
        <f t="shared" si="14"/>
        <v>435536</v>
      </c>
      <c r="R10" s="136"/>
      <c r="S10" s="135">
        <f t="shared" si="15"/>
        <v>0</v>
      </c>
      <c r="T10" s="136"/>
      <c r="U10" s="135">
        <f t="shared" si="16"/>
        <v>0</v>
      </c>
      <c r="V10" s="77">
        <f t="shared" si="17"/>
        <v>435536</v>
      </c>
      <c r="W10" s="120"/>
      <c r="X10" s="78"/>
    </row>
    <row r="11" spans="1:24" s="149" customFormat="1" ht="38.1" customHeight="1" x14ac:dyDescent="0.3">
      <c r="A11" s="73" t="str">
        <f t="shared" si="18"/>
        <v>E00000803061300201</v>
      </c>
      <c r="B11" s="109"/>
      <c r="C11" s="109"/>
      <c r="D11" s="109"/>
      <c r="E11" s="109"/>
      <c r="F11" s="103"/>
      <c r="G11" s="74" t="s">
        <v>128</v>
      </c>
      <c r="H11" s="74"/>
      <c r="I11" s="103"/>
      <c r="J11" s="140" t="s">
        <v>129</v>
      </c>
      <c r="K11" s="140" t="s">
        <v>130</v>
      </c>
      <c r="L11" s="121" t="s">
        <v>127</v>
      </c>
      <c r="M11" s="139">
        <v>50</v>
      </c>
      <c r="N11" s="134"/>
      <c r="O11" s="135">
        <f t="shared" si="13"/>
        <v>0</v>
      </c>
      <c r="P11" s="134">
        <v>6179</v>
      </c>
      <c r="Q11" s="135">
        <f t="shared" si="14"/>
        <v>257973.25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257973.25</v>
      </c>
      <c r="W11" s="120"/>
      <c r="X11" s="78"/>
    </row>
    <row r="12" spans="1:24" s="149" customFormat="1" ht="38.1" customHeight="1" x14ac:dyDescent="0.3">
      <c r="A12" s="73" t="str">
        <f t="shared" si="18"/>
        <v>M020411810170101</v>
      </c>
      <c r="B12" s="109"/>
      <c r="C12" s="109"/>
      <c r="D12" s="109"/>
      <c r="E12" s="109"/>
      <c r="F12" s="103"/>
      <c r="G12" s="74"/>
      <c r="H12" s="162" t="s">
        <v>143</v>
      </c>
      <c r="I12" s="103"/>
      <c r="J12" s="163" t="s">
        <v>144</v>
      </c>
      <c r="K12" s="163" t="s">
        <v>145</v>
      </c>
      <c r="L12" s="131" t="s">
        <v>141</v>
      </c>
      <c r="M12" s="139">
        <v>0.2</v>
      </c>
      <c r="N12" s="164">
        <v>89800</v>
      </c>
      <c r="O12" s="135">
        <f t="shared" si="13"/>
        <v>14996.599999999999</v>
      </c>
      <c r="P12" s="134"/>
      <c r="Q12" s="135"/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14996.599999999999</v>
      </c>
      <c r="W12" s="120"/>
      <c r="X12" s="78"/>
    </row>
    <row r="13" spans="1:24" s="149" customFormat="1" ht="38.1" customHeight="1" x14ac:dyDescent="0.3">
      <c r="A13" s="73" t="str">
        <f t="shared" si="18"/>
        <v>E00000803061120802</v>
      </c>
      <c r="B13" s="109"/>
      <c r="C13" s="109"/>
      <c r="D13" s="109"/>
      <c r="E13" s="109"/>
      <c r="F13" s="103"/>
      <c r="G13" s="74" t="s">
        <v>131</v>
      </c>
      <c r="H13" s="74"/>
      <c r="I13" s="103"/>
      <c r="J13" s="140" t="s">
        <v>132</v>
      </c>
      <c r="K13" s="140" t="s">
        <v>133</v>
      </c>
      <c r="L13" s="121" t="s">
        <v>127</v>
      </c>
      <c r="M13" s="139">
        <v>14</v>
      </c>
      <c r="N13" s="150"/>
      <c r="O13" s="76">
        <f t="shared" si="13"/>
        <v>0</v>
      </c>
      <c r="P13" s="151">
        <v>2422</v>
      </c>
      <c r="Q13" s="76">
        <f t="shared" si="14"/>
        <v>28313.18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28313.18</v>
      </c>
      <c r="W13" s="120"/>
      <c r="X13" s="78"/>
    </row>
    <row r="14" spans="1:24" s="149" customFormat="1" ht="38.1" customHeight="1" x14ac:dyDescent="0.3">
      <c r="A14" s="73" t="str">
        <f t="shared" si="18"/>
        <v>E00000803061300701</v>
      </c>
      <c r="B14" s="109"/>
      <c r="C14" s="109"/>
      <c r="D14" s="109"/>
      <c r="E14" s="109"/>
      <c r="F14" s="103"/>
      <c r="G14" s="74" t="s">
        <v>134</v>
      </c>
      <c r="H14" s="74"/>
      <c r="I14" s="103"/>
      <c r="J14" s="140" t="s">
        <v>135</v>
      </c>
      <c r="K14" s="140" t="s">
        <v>130</v>
      </c>
      <c r="L14" s="121" t="s">
        <v>127</v>
      </c>
      <c r="M14" s="139">
        <v>14</v>
      </c>
      <c r="N14" s="122"/>
      <c r="O14" s="76">
        <f t="shared" si="13"/>
        <v>0</v>
      </c>
      <c r="P14" s="151">
        <v>3756</v>
      </c>
      <c r="Q14" s="76">
        <f t="shared" si="14"/>
        <v>43907.64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43907.64</v>
      </c>
      <c r="W14" s="120"/>
      <c r="X14" s="78"/>
    </row>
    <row r="15" spans="1:24" s="149" customFormat="1" ht="38.1" customHeight="1" x14ac:dyDescent="0.3">
      <c r="A15" s="73" t="str">
        <f t="shared" si="18"/>
        <v>E00000803061120802</v>
      </c>
      <c r="B15" s="109"/>
      <c r="C15" s="109"/>
      <c r="D15" s="109"/>
      <c r="E15" s="109"/>
      <c r="F15" s="103"/>
      <c r="G15" s="74" t="s">
        <v>131</v>
      </c>
      <c r="H15" s="74"/>
      <c r="I15" s="103"/>
      <c r="J15" s="140" t="s">
        <v>136</v>
      </c>
      <c r="K15" s="140" t="s">
        <v>133</v>
      </c>
      <c r="L15" s="121" t="s">
        <v>127</v>
      </c>
      <c r="M15" s="139">
        <v>1.85</v>
      </c>
      <c r="N15" s="150"/>
      <c r="O15" s="76">
        <f t="shared" si="13"/>
        <v>0</v>
      </c>
      <c r="P15" s="151">
        <v>2422</v>
      </c>
      <c r="Q15" s="76">
        <f t="shared" si="14"/>
        <v>3741.3844999999997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3741.3844999999997</v>
      </c>
      <c r="W15" s="120"/>
      <c r="X15" s="78"/>
    </row>
    <row r="16" spans="1:24" s="149" customFormat="1" ht="38.1" customHeight="1" x14ac:dyDescent="0.3">
      <c r="A16" s="73" t="str">
        <f t="shared" si="18"/>
        <v>E00000803061300401</v>
      </c>
      <c r="B16" s="109"/>
      <c r="C16" s="109"/>
      <c r="D16" s="109"/>
      <c r="E16" s="109"/>
      <c r="F16" s="103"/>
      <c r="G16" s="74" t="s">
        <v>137</v>
      </c>
      <c r="H16" s="74"/>
      <c r="I16" s="103"/>
      <c r="J16" s="140" t="s">
        <v>138</v>
      </c>
      <c r="K16" s="140" t="s">
        <v>130</v>
      </c>
      <c r="L16" s="121" t="s">
        <v>127</v>
      </c>
      <c r="M16" s="139">
        <v>1.85</v>
      </c>
      <c r="N16" s="122"/>
      <c r="O16" s="76">
        <f t="shared" si="13"/>
        <v>0</v>
      </c>
      <c r="P16" s="151">
        <v>5677</v>
      </c>
      <c r="Q16" s="76">
        <f t="shared" si="14"/>
        <v>8769.5457500000011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8769.5457500000011</v>
      </c>
      <c r="W16" s="120"/>
      <c r="X16" s="78"/>
    </row>
    <row r="17" spans="1:24" s="149" customFormat="1" ht="38.1" customHeight="1" x14ac:dyDescent="0.3">
      <c r="A17" s="73" t="str">
        <f t="shared" si="18"/>
        <v>E00000801011510701</v>
      </c>
      <c r="B17" s="109"/>
      <c r="C17" s="109"/>
      <c r="D17" s="109"/>
      <c r="E17" s="109"/>
      <c r="F17" s="103"/>
      <c r="G17" s="74" t="s">
        <v>161</v>
      </c>
      <c r="H17" s="74"/>
      <c r="I17" s="103"/>
      <c r="J17" s="152" t="s">
        <v>158</v>
      </c>
      <c r="K17" s="152" t="s">
        <v>159</v>
      </c>
      <c r="L17" s="153" t="s">
        <v>160</v>
      </c>
      <c r="M17" s="139">
        <v>97</v>
      </c>
      <c r="N17" s="150"/>
      <c r="O17" s="76">
        <f t="shared" ref="O17" si="19">SUM(N17:N17)*M17*$O$2</f>
        <v>0</v>
      </c>
      <c r="P17" s="165">
        <v>4966</v>
      </c>
      <c r="Q17" s="76">
        <f t="shared" si="14"/>
        <v>402221.17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402221.17</v>
      </c>
      <c r="W17" s="120"/>
      <c r="X17" s="78"/>
    </row>
    <row r="18" spans="1:24" s="159" customFormat="1" ht="38.1" customHeight="1" x14ac:dyDescent="0.3">
      <c r="A18" s="154"/>
      <c r="B18" s="155"/>
      <c r="C18" s="155"/>
      <c r="D18" s="155"/>
      <c r="E18" s="155"/>
      <c r="F18" s="155"/>
      <c r="G18" s="155"/>
      <c r="H18" s="155"/>
      <c r="I18" s="155"/>
      <c r="J18" s="143"/>
      <c r="K18" s="143"/>
      <c r="L18" s="155"/>
      <c r="M18" s="155"/>
      <c r="N18" s="155"/>
      <c r="O18" s="156">
        <f>SUM(O5:O17)</f>
        <v>729305.33259999997</v>
      </c>
      <c r="P18" s="157"/>
      <c r="Q18" s="156">
        <f>SUM(Q5:Q17)</f>
        <v>2585599.2287040004</v>
      </c>
      <c r="R18" s="157"/>
      <c r="S18" s="156">
        <f>SUM(S5:S17)</f>
        <v>0</v>
      </c>
      <c r="T18" s="157"/>
      <c r="U18" s="156">
        <f>SUM(U5:U17)</f>
        <v>0</v>
      </c>
      <c r="V18" s="158">
        <f>SUM(V5:V17)</f>
        <v>3314904.5613040007</v>
      </c>
      <c r="W18" s="112"/>
      <c r="X18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B39" sqref="B39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201" t="s">
        <v>59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6" ht="15" customHeight="1" x14ac:dyDescent="0.3">
      <c r="A2" s="202" t="s">
        <v>60</v>
      </c>
      <c r="B2" s="203" t="s">
        <v>61</v>
      </c>
      <c r="C2" s="204" t="s">
        <v>47</v>
      </c>
      <c r="D2" s="204" t="s">
        <v>62</v>
      </c>
      <c r="E2" s="206" t="s">
        <v>63</v>
      </c>
      <c r="F2" s="203"/>
      <c r="G2" s="203" t="s">
        <v>64</v>
      </c>
      <c r="H2" s="203"/>
      <c r="I2" s="207" t="s">
        <v>65</v>
      </c>
      <c r="J2" s="208"/>
      <c r="K2" s="207" t="s">
        <v>66</v>
      </c>
      <c r="L2" s="208"/>
      <c r="M2" s="206" t="s">
        <v>67</v>
      </c>
      <c r="N2" s="203"/>
      <c r="O2" s="209" t="s">
        <v>68</v>
      </c>
    </row>
    <row r="3" spans="1:16" ht="15" customHeight="1" x14ac:dyDescent="0.3">
      <c r="A3" s="202"/>
      <c r="B3" s="203"/>
      <c r="C3" s="205"/>
      <c r="D3" s="205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10"/>
    </row>
    <row r="4" spans="1:16" ht="15" customHeight="1" x14ac:dyDescent="0.3">
      <c r="A4" s="199" t="s">
        <v>169</v>
      </c>
      <c r="B4" s="20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91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1" si="0">D5*E5</f>
        <v>40166</v>
      </c>
      <c r="G5" s="85">
        <v>8839.9</v>
      </c>
      <c r="H5" s="85">
        <f t="shared" ref="H5:H11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193" t="s">
        <v>149</v>
      </c>
      <c r="P5" s="171">
        <f>D5+D7+D9+D11</f>
        <v>120</v>
      </c>
    </row>
    <row r="6" spans="1:16" ht="15" customHeight="1" x14ac:dyDescent="0.3">
      <c r="A6" s="192"/>
      <c r="B6" s="167" t="s">
        <v>75</v>
      </c>
      <c r="C6" s="168" t="s">
        <v>74</v>
      </c>
      <c r="D6" s="169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94"/>
      <c r="P6" s="171">
        <f>D6+D12</f>
        <v>0</v>
      </c>
    </row>
    <row r="7" spans="1:16" ht="15" customHeight="1" x14ac:dyDescent="0.3">
      <c r="A7" s="192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ref="N7:N11" si="2">F7+H7+J7+L7</f>
        <v>316700.79999999999</v>
      </c>
      <c r="O7" s="194"/>
      <c r="P7" s="171">
        <f>P5+P6</f>
        <v>120</v>
      </c>
    </row>
    <row r="8" spans="1:16" ht="15" customHeight="1" x14ac:dyDescent="0.3">
      <c r="A8" s="192"/>
      <c r="B8" s="167" t="s">
        <v>77</v>
      </c>
      <c r="C8" s="168" t="s">
        <v>74</v>
      </c>
      <c r="D8" s="169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94"/>
    </row>
    <row r="9" spans="1:16" ht="15" customHeight="1" x14ac:dyDescent="0.3">
      <c r="A9" s="192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194"/>
    </row>
    <row r="10" spans="1:16" ht="15" customHeight="1" x14ac:dyDescent="0.3">
      <c r="A10" s="192"/>
      <c r="B10" s="167" t="s">
        <v>79</v>
      </c>
      <c r="C10" s="168" t="s">
        <v>74</v>
      </c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94"/>
    </row>
    <row r="11" spans="1:16" ht="15" customHeight="1" x14ac:dyDescent="0.3">
      <c r="A11" s="192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194"/>
    </row>
    <row r="12" spans="1:16" ht="15" customHeight="1" x14ac:dyDescent="0.3">
      <c r="A12" s="192"/>
      <c r="B12" s="167" t="s">
        <v>165</v>
      </c>
      <c r="C12" s="168" t="s">
        <v>74</v>
      </c>
      <c r="D12" s="169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94"/>
    </row>
    <row r="13" spans="1:16" ht="15" customHeight="1" x14ac:dyDescent="0.3">
      <c r="A13" s="113" t="s">
        <v>81</v>
      </c>
      <c r="B13" s="114"/>
      <c r="C13" s="115"/>
      <c r="D13" s="124">
        <f>SUM(D5:D12)</f>
        <v>120</v>
      </c>
      <c r="E13" s="116"/>
      <c r="F13" s="116">
        <f>SUM(F5:F12)</f>
        <v>126840</v>
      </c>
      <c r="G13" s="116"/>
      <c r="H13" s="116">
        <f>SUM(H5:H12)</f>
        <v>1060788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1187628</v>
      </c>
      <c r="O13" s="116"/>
    </row>
    <row r="14" spans="1:16" ht="15" customHeight="1" x14ac:dyDescent="0.3">
      <c r="A14" s="195" t="s">
        <v>150</v>
      </c>
      <c r="B14" s="82" t="s">
        <v>82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194"/>
    </row>
    <row r="15" spans="1:16" ht="15" customHeight="1" x14ac:dyDescent="0.3">
      <c r="A15" s="195"/>
      <c r="B15" s="82" t="s">
        <v>83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194"/>
    </row>
    <row r="16" spans="1:16" ht="15" customHeight="1" x14ac:dyDescent="0.3">
      <c r="A16" s="195"/>
      <c r="B16" s="82" t="s">
        <v>84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194"/>
    </row>
    <row r="17" spans="1:15" ht="15" customHeight="1" x14ac:dyDescent="0.3">
      <c r="A17" s="196"/>
      <c r="B17" s="82" t="s">
        <v>85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197"/>
    </row>
    <row r="18" spans="1:15" ht="15" customHeight="1" x14ac:dyDescent="0.3">
      <c r="A18" s="104" t="s">
        <v>81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86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146</v>
      </c>
      <c r="B20" s="132" t="s">
        <v>142</v>
      </c>
      <c r="C20" s="132" t="s">
        <v>141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198" t="s">
        <v>87</v>
      </c>
      <c r="B21" s="92" t="s">
        <v>88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198"/>
      <c r="B22" s="92" t="s">
        <v>89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198" t="s">
        <v>90</v>
      </c>
      <c r="B23" s="92" t="s">
        <v>88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198"/>
      <c r="B24" s="92" t="s">
        <v>89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144</v>
      </c>
      <c r="B25" s="132" t="s">
        <v>145</v>
      </c>
      <c r="C25" s="132" t="s">
        <v>141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190" t="s">
        <v>91</v>
      </c>
      <c r="B26" s="92" t="s">
        <v>92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190"/>
      <c r="B27" s="92" t="s">
        <v>93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190" t="s">
        <v>94</v>
      </c>
      <c r="B28" s="92" t="s">
        <v>92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190"/>
      <c r="B29" s="92" t="s">
        <v>95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81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96</v>
      </c>
      <c r="B31" s="82" t="s">
        <v>97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98</v>
      </c>
    </row>
    <row r="32" spans="1:15" ht="15" customHeight="1" x14ac:dyDescent="0.3">
      <c r="A32" s="105" t="s">
        <v>81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140</v>
      </c>
      <c r="B33" s="87"/>
      <c r="C33" s="88"/>
      <c r="D33" s="98"/>
      <c r="E33" s="100"/>
      <c r="F33" s="101">
        <f>F13+F18+F30+F32</f>
        <v>728216.4</v>
      </c>
      <c r="G33" s="101"/>
      <c r="H33" s="101">
        <f>H13+H18+H30+H32</f>
        <v>2585690.15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3313906.5500000003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O11" sqref="O11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7.2683999999999997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M020809012520101</v>
      </c>
      <c r="B4" s="108">
        <f>'내역서(표준단가)'!F7</f>
        <v>0</v>
      </c>
      <c r="C4" s="108">
        <f>'내역서(표준단가)'!G7</f>
        <v>0</v>
      </c>
      <c r="D4" s="108" t="str">
        <f>'내역서(표준단가)'!H7</f>
        <v>M020809012520101</v>
      </c>
      <c r="E4" s="108">
        <f>'내역서(표준단가)'!I7</f>
        <v>0</v>
      </c>
      <c r="F4" s="118">
        <f>'내역서(표준단가)'!M7</f>
        <v>51.6</v>
      </c>
    </row>
    <row r="5" spans="1:6" x14ac:dyDescent="0.3">
      <c r="A5" s="107" t="str">
        <f>'내역서(표준단가)'!A8</f>
        <v>E00000803071260401</v>
      </c>
      <c r="B5" s="108">
        <f>'내역서(표준단가)'!F8</f>
        <v>0</v>
      </c>
      <c r="C5" s="108" t="str">
        <f>'내역서(표준단가)'!G8</f>
        <v>E00000803071260401</v>
      </c>
      <c r="D5" s="108">
        <f>'내역서(표준단가)'!H8</f>
        <v>0</v>
      </c>
      <c r="E5" s="108">
        <f>'내역서(표준단가)'!I8</f>
        <v>0</v>
      </c>
      <c r="F5" s="118">
        <f>'내역서(표준단가)'!M8</f>
        <v>0.84589999999999999</v>
      </c>
    </row>
    <row r="6" spans="1:6" x14ac:dyDescent="0.3">
      <c r="A6" s="107" t="str">
        <f>'내역서(표준단가)'!A9</f>
        <v>M020412614110102</v>
      </c>
      <c r="B6" s="108">
        <f>'내역서(표준단가)'!F9</f>
        <v>0</v>
      </c>
      <c r="C6" s="108">
        <f>'내역서(표준단가)'!G9</f>
        <v>0</v>
      </c>
      <c r="D6" s="108" t="str">
        <f>'내역서(표준단가)'!H9</f>
        <v>M020412614110102</v>
      </c>
      <c r="E6" s="108">
        <f>'내역서(표준단가)'!I9</f>
        <v>0</v>
      </c>
      <c r="F6" s="118">
        <f>'내역서(표준단가)'!M9</f>
        <v>0.5</v>
      </c>
    </row>
    <row r="7" spans="1:6" x14ac:dyDescent="0.3">
      <c r="A7" s="107" t="str">
        <f>'내역서(표준단가)'!A10</f>
        <v>E00000803061120402</v>
      </c>
      <c r="B7" s="108">
        <f>'내역서(표준단가)'!F10</f>
        <v>0</v>
      </c>
      <c r="C7" s="108" t="str">
        <f>'내역서(표준단가)'!G10</f>
        <v>E00000803061120402</v>
      </c>
      <c r="D7" s="108">
        <f>'내역서(표준단가)'!H10</f>
        <v>0</v>
      </c>
      <c r="E7" s="108">
        <f>'내역서(표준단가)'!I10</f>
        <v>0</v>
      </c>
      <c r="F7" s="118">
        <f>'내역서(표준단가)'!M10</f>
        <v>50</v>
      </c>
    </row>
    <row r="8" spans="1:6" x14ac:dyDescent="0.3">
      <c r="A8" s="107" t="str">
        <f>'내역서(표준단가)'!A11</f>
        <v>E00000803061300201</v>
      </c>
      <c r="B8" s="108">
        <f>'내역서(표준단가)'!F11</f>
        <v>0</v>
      </c>
      <c r="C8" s="108" t="str">
        <f>'내역서(표준단가)'!G11</f>
        <v>E00000803061300201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M020411810170101</v>
      </c>
      <c r="B9" s="108">
        <f>'내역서(표준단가)'!F12</f>
        <v>0</v>
      </c>
      <c r="C9" s="108">
        <f>'내역서(표준단가)'!G12</f>
        <v>0</v>
      </c>
      <c r="D9" s="108" t="str">
        <f>'내역서(표준단가)'!H12</f>
        <v>M020411810170101</v>
      </c>
      <c r="E9" s="108">
        <f>'내역서(표준단가)'!I12</f>
        <v>0</v>
      </c>
      <c r="F9" s="118">
        <f>'내역서(표준단가)'!M12</f>
        <v>0.2</v>
      </c>
    </row>
    <row r="10" spans="1:6" x14ac:dyDescent="0.3">
      <c r="A10" s="107" t="str">
        <f>'내역서(표준단가)'!A13</f>
        <v>E00000803061120802</v>
      </c>
      <c r="B10" s="108">
        <f>'내역서(표준단가)'!F13</f>
        <v>0</v>
      </c>
      <c r="C10" s="108" t="str">
        <f>'내역서(표준단가)'!G13</f>
        <v>E00000803061120802</v>
      </c>
      <c r="D10" s="108">
        <f>'내역서(표준단가)'!H13</f>
        <v>0</v>
      </c>
      <c r="E10" s="108">
        <f>'내역서(표준단가)'!I13</f>
        <v>0</v>
      </c>
      <c r="F10" s="118">
        <f>'내역서(표준단가)'!M13</f>
        <v>14</v>
      </c>
    </row>
    <row r="11" spans="1:6" x14ac:dyDescent="0.3">
      <c r="A11" s="107" t="str">
        <f>'내역서(표준단가)'!A14</f>
        <v>E00000803061300701</v>
      </c>
      <c r="B11" s="108">
        <f>'내역서(표준단가)'!F14</f>
        <v>0</v>
      </c>
      <c r="C11" s="108" t="str">
        <f>'내역서(표준단가)'!G14</f>
        <v>E00000803061300701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E00000803061120802</v>
      </c>
      <c r="B12" s="108">
        <f>'내역서(표준단가)'!F15</f>
        <v>0</v>
      </c>
      <c r="C12" s="108" t="str">
        <f>'내역서(표준단가)'!G15</f>
        <v>E00000803061120802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1.85</v>
      </c>
    </row>
    <row r="13" spans="1:6" x14ac:dyDescent="0.3">
      <c r="A13" s="107" t="str">
        <f>'내역서(표준단가)'!A16</f>
        <v>E00000803061300401</v>
      </c>
      <c r="B13" s="108">
        <f>'내역서(표준단가)'!F16</f>
        <v>0</v>
      </c>
      <c r="C13" s="108" t="str">
        <f>'내역서(표준단가)'!G16</f>
        <v>E00000803061300401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E00000801011510701</v>
      </c>
      <c r="B14" s="108">
        <f>'내역서(표준단가)'!F17</f>
        <v>0</v>
      </c>
      <c r="C14" s="108" t="str">
        <f>'내역서(표준단가)'!G17</f>
        <v>E00000801011510701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2025-10-16T01:40:56Z</dcterms:modified>
</cp:coreProperties>
</file>
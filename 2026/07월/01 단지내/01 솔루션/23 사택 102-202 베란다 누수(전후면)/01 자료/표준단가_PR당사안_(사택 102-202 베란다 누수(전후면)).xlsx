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D2DAF768-31F8-4008-BCFD-283A6261A3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5" i="4"/>
  <c r="J22" i="6" l="1"/>
  <c r="J24" i="6"/>
  <c r="J23" i="6"/>
  <c r="J25" i="6"/>
  <c r="J27" i="6" s="1"/>
  <c r="J26" i="6"/>
  <c r="Q10" i="4"/>
  <c r="O10" i="4"/>
  <c r="M10" i="4"/>
  <c r="K10" i="4"/>
  <c r="A10" i="4"/>
  <c r="A7" i="1" s="1"/>
  <c r="J28" i="6" l="1"/>
  <c r="J20" i="6" s="1"/>
  <c r="R10" i="4"/>
  <c r="M12" i="4"/>
  <c r="M11" i="4"/>
  <c r="Q12" i="4"/>
  <c r="O12" i="4"/>
  <c r="K12" i="4"/>
  <c r="A12" i="4"/>
  <c r="A9" i="1" s="1"/>
  <c r="Q11" i="4"/>
  <c r="O11" i="4"/>
  <c r="K11" i="4"/>
  <c r="A11" i="4"/>
  <c r="A8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J30" i="6" l="1"/>
  <c r="R12" i="4"/>
  <c r="R8" i="4"/>
  <c r="R9" i="4"/>
  <c r="R6" i="4"/>
  <c r="R7" i="4"/>
  <c r="R11" i="4"/>
  <c r="Q5" i="4"/>
  <c r="O5" i="4"/>
  <c r="K5" i="4"/>
  <c r="M32" i="6" l="1"/>
  <c r="B15" i="6" s="1"/>
  <c r="R5" i="4"/>
  <c r="F2" i="1" l="1"/>
  <c r="E2" i="1"/>
  <c r="D2" i="1"/>
  <c r="C2" i="1"/>
  <c r="B2" i="1"/>
  <c r="A5" i="4"/>
  <c r="A2" i="1" s="1"/>
  <c r="Q13" i="4" l="1"/>
  <c r="M13" i="4"/>
  <c r="O13" i="4" l="1"/>
  <c r="R13" i="4" l="1"/>
  <c r="K13" i="4" l="1"/>
</calcChain>
</file>

<file path=xl/sharedStrings.xml><?xml version="1.0" encoding="utf-8"?>
<sst xmlns="http://schemas.openxmlformats.org/spreadsheetml/2006/main" count="145" uniqueCount="120">
  <si>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</si>
  <si>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</si>
  <si>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</si>
  <si>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</si>
  <si>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</si>
  <si>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</si>
  <si>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</si>
  <si>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</si>
  <si>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인</t>
    <phoneticPr fontId="11" type="noConversion"/>
  </si>
  <si>
    <t>시중노임단가</t>
    <phoneticPr fontId="11" type="noConversion"/>
  </si>
  <si>
    <t>L003</t>
  </si>
  <si>
    <t>특별인부</t>
    <phoneticPr fontId="11" type="noConversion"/>
  </si>
  <si>
    <t>다우실 MS 704</t>
  </si>
  <si>
    <t>1액형 변성 실리콘, 크랙 보수용, 비오염성, 방수씰링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</si>
  <si>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</si>
  <si>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</si>
  <si>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</si>
  <si>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</si>
  <si>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</si>
  <si>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</si>
  <si>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</si>
  <si>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</si>
  <si>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</si>
  <si>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</si>
  <si>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</si>
  <si>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</si>
  <si>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</si>
  <si>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</si>
  <si>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</si>
  <si>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</si>
  <si>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</si>
  <si>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</si>
  <si>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</si>
  <si>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</si>
  <si>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</si>
  <si>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매</t>
  </si>
  <si>
    <t>바탕처리</t>
  </si>
  <si>
    <t>불량 - 수직부</t>
  </si>
  <si>
    <t>(㎡ 당)</t>
  </si>
  <si>
    <t>시멘트 혼입 폴리머계 도막 방수 바름</t>
  </si>
  <si>
    <t>노출공법</t>
  </si>
  <si>
    <t>수밀 코킹</t>
  </si>
  <si>
    <t>(m 당)</t>
  </si>
  <si>
    <t>270㎖</t>
  </si>
  <si>
    <t>PVC평판(회색)</t>
  </si>
  <si>
    <t>1,000×2,000×10㎜</t>
  </si>
  <si>
    <t>L002</t>
    <phoneticPr fontId="11" type="noConversion"/>
  </si>
  <si>
    <t>시중노임단가, 보통인부</t>
    <phoneticPr fontId="11" type="noConversion"/>
  </si>
  <si>
    <t>E00000803073010104</t>
    <phoneticPr fontId="11" type="noConversion"/>
  </si>
  <si>
    <t>E00000803073021001</t>
    <phoneticPr fontId="11" type="noConversion"/>
  </si>
  <si>
    <t>E00000803073030101</t>
    <phoneticPr fontId="11" type="noConversion"/>
  </si>
  <si>
    <t>M020251411760101</t>
    <phoneticPr fontId="11" type="noConversion"/>
  </si>
  <si>
    <t>M060302210060101</t>
    <phoneticPr fontId="11" type="noConversion"/>
  </si>
  <si>
    <t>자재운반 가공, 폐기물처비 포함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</si>
  <si>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</si>
  <si>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</si>
  <si>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</si>
  <si>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</si>
  <si>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</si>
  <si>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</si>
  <si>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</si>
  <si>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</si>
  <si>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</si>
  <si>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</si>
  <si>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</si>
  <si>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</si>
  <si>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</si>
  <si>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</si>
  <si>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</si>
  <si>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</si>
  <si>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</si>
  <si>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</si>
  <si>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</si>
  <si>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</si>
  <si>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</si>
  <si>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</si>
  <si>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</si>
  <si>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</si>
  <si>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</si>
  <si>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</si>
  <si>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</si>
  <si>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</si>
  <si>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</si>
  <si>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</si>
  <si>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</si>
  <si>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</si>
  <si>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</si>
  <si>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</si>
  <si>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</si>
  <si>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</si>
  <si>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</si>
  <si>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</si>
  <si>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</si>
  <si>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</si>
  <si>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</si>
  <si>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</si>
  <si>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</si>
  <si>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</si>
  <si>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</si>
  <si>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</si>
  <si>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</si>
  <si>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</si>
  <si>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</si>
  <si>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</si>
  <si>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</si>
  <si>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</si>
  <si>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</si>
  <si>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</si>
  <si>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</si>
  <si>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</si>
  <si>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</si>
  <si>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</si>
  <si>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</si>
  <si>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</si>
  <si>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</si>
  <si>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</si>
  <si>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</si>
  <si>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</si>
  <si>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102-202 베란다 누수(전후면)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</si>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</sst>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0.0_ "/>
    <numFmt numFmtId="184" formatCode="#,##0;\-#,##0;"/>
    <numFmt numFmtId="185" formatCode="0.000"/>
    <numFmt numFmtId="186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5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49" fontId="19" fillId="7" borderId="2" xfId="0" applyNumberFormat="1" applyFont="1" applyFill="1" applyBorder="1" applyAlignment="1">
      <alignment horizontal="center" vertical="center" wrapText="1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9" fontId="19" fillId="0" borderId="2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3" fontId="19" fillId="0" borderId="1" xfId="1" applyNumberFormat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184" fontId="19" fillId="5" borderId="2" xfId="0" applyNumberFormat="1" applyFont="1" applyFill="1" applyBorder="1" applyAlignment="1">
      <alignment horizontal="right" vertical="center"/>
    </xf>
    <xf numFmtId="184" fontId="19" fillId="6" borderId="2" xfId="1" applyNumberFormat="1" applyFont="1" applyFill="1" applyBorder="1" applyAlignment="1">
      <alignment horizontal="right" vertical="center" wrapText="1"/>
    </xf>
    <xf numFmtId="184" fontId="19" fillId="0" borderId="2" xfId="1" applyNumberFormat="1" applyFont="1" applyFill="1" applyBorder="1" applyAlignment="1">
      <alignment horizontal="right" vertical="center" wrapText="1"/>
    </xf>
    <xf numFmtId="184" fontId="19" fillId="5" borderId="2" xfId="0" applyNumberFormat="1" applyFont="1" applyFill="1" applyBorder="1" applyAlignment="1">
      <alignment horizontal="right" vertical="center" wrapText="1"/>
    </xf>
    <xf numFmtId="185" fontId="19" fillId="5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3" applyNumberFormat="1" applyFont="1" applyBorder="1" applyAlignment="1">
      <alignment horizontal="center" vertical="center" wrapText="1" shrinkToFi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2" fontId="24" fillId="5" borderId="2" xfId="0" applyNumberFormat="1" applyFont="1" applyFill="1" applyBorder="1" applyAlignment="1">
      <alignment horizontal="center" vertical="center" wrapText="1"/>
    </xf>
    <xf numFmtId="184" fontId="24" fillId="5" borderId="2" xfId="1" applyNumberFormat="1" applyFont="1" applyFill="1" applyBorder="1" applyAlignment="1">
      <alignment horizontal="right" vertical="center"/>
    </xf>
    <xf numFmtId="184" fontId="24" fillId="5" borderId="2" xfId="1" applyNumberFormat="1" applyFont="1" applyFill="1" applyBorder="1" applyAlignment="1">
      <alignment horizontal="right" vertical="center" wrapText="1"/>
    </xf>
    <xf numFmtId="176" fontId="25" fillId="5" borderId="2" xfId="1" applyFont="1" applyFill="1" applyBorder="1" applyAlignment="1">
      <alignment horizontal="right" vertical="center"/>
    </xf>
    <xf numFmtId="0" fontId="27" fillId="0" borderId="0" xfId="28" applyFont="1">
      <alignment vertical="center"/>
    </xf>
    <xf numFmtId="0" fontId="26" fillId="0" borderId="16" xfId="27" applyFont="1" applyBorder="1" applyAlignment="1">
      <alignment horizontal="center" vertical="center"/>
    </xf>
    <xf numFmtId="0" fontId="26" fillId="0" borderId="0" xfId="27" applyFont="1" applyAlignment="1">
      <alignment horizontal="center" vertical="center"/>
    </xf>
    <xf numFmtId="0" fontId="26" fillId="0" borderId="17" xfId="27" applyFont="1" applyBorder="1" applyAlignment="1">
      <alignment horizontal="center" vertical="center"/>
    </xf>
    <xf numFmtId="0" fontId="29" fillId="0" borderId="16" xfId="27" applyFont="1" applyBorder="1" applyAlignment="1">
      <alignment horizontal="left" vertical="center"/>
    </xf>
    <xf numFmtId="0" fontId="30" fillId="0" borderId="0" xfId="27" applyFont="1" applyAlignment="1">
      <alignment vertical="center"/>
    </xf>
    <xf numFmtId="0" fontId="30" fillId="0" borderId="0" xfId="27" applyFont="1" applyAlignment="1">
      <alignment horizontal="left" vertical="center" textRotation="1"/>
    </xf>
    <xf numFmtId="0" fontId="31" fillId="0" borderId="0" xfId="27" applyFont="1" applyAlignment="1">
      <alignment horizontal="centerContinuous" vertical="center"/>
    </xf>
    <xf numFmtId="0" fontId="31" fillId="0" borderId="17" xfId="27" applyFont="1" applyBorder="1" applyAlignment="1">
      <alignment vertical="center"/>
    </xf>
    <xf numFmtId="0" fontId="32" fillId="0" borderId="16" xfId="27" applyFont="1" applyBorder="1" applyAlignment="1">
      <alignment horizontal="left" vertical="center" indent="2"/>
    </xf>
    <xf numFmtId="0" fontId="27" fillId="0" borderId="18" xfId="27" applyFont="1" applyBorder="1" applyAlignment="1">
      <alignment vertical="center"/>
    </xf>
    <xf numFmtId="0" fontId="27" fillId="0" borderId="0" xfId="27" applyFont="1" applyAlignment="1">
      <alignment vertical="center"/>
    </xf>
    <xf numFmtId="0" fontId="31" fillId="0" borderId="17" xfId="27" applyFont="1" applyBorder="1" applyAlignment="1">
      <alignment horizontal="right" vertical="center"/>
    </xf>
    <xf numFmtId="0" fontId="32" fillId="0" borderId="16" xfId="27" applyFont="1" applyBorder="1" applyAlignment="1">
      <alignment vertical="center"/>
    </xf>
    <xf numFmtId="0" fontId="32" fillId="0" borderId="0" xfId="27" applyFont="1" applyAlignment="1">
      <alignment vertical="center"/>
    </xf>
    <xf numFmtId="0" fontId="31" fillId="0" borderId="0" xfId="27" applyFont="1" applyAlignment="1">
      <alignment horizontal="right" vertical="center"/>
    </xf>
    <xf numFmtId="0" fontId="32" fillId="0" borderId="17" xfId="27" applyFont="1" applyBorder="1" applyAlignment="1">
      <alignment vertical="center"/>
    </xf>
    <xf numFmtId="0" fontId="27" fillId="0" borderId="20" xfId="27" applyFont="1" applyBorder="1" applyAlignment="1">
      <alignment horizontal="center" vertical="center"/>
    </xf>
    <xf numFmtId="0" fontId="27" fillId="0" borderId="21" xfId="27" applyFont="1" applyBorder="1" applyAlignment="1">
      <alignment horizontal="center" vertical="center"/>
    </xf>
    <xf numFmtId="0" fontId="27" fillId="0" borderId="6" xfId="27" applyFont="1" applyBorder="1" applyAlignment="1">
      <alignment horizontal="center" vertical="center"/>
    </xf>
    <xf numFmtId="0" fontId="27" fillId="0" borderId="23" xfId="27" applyFont="1" applyBorder="1" applyAlignment="1">
      <alignment horizontal="center" vertical="center"/>
    </xf>
    <xf numFmtId="0" fontId="27" fillId="0" borderId="2" xfId="27" applyFont="1" applyBorder="1" applyAlignment="1">
      <alignment horizontal="center" vertical="center"/>
    </xf>
    <xf numFmtId="0" fontId="35" fillId="0" borderId="8" xfId="27" applyFont="1" applyBorder="1" applyAlignment="1">
      <alignment horizontal="center" vertical="center"/>
    </xf>
    <xf numFmtId="0" fontId="27" fillId="0" borderId="31" xfId="27" applyFont="1" applyBorder="1" applyAlignment="1">
      <alignment horizontal="center" vertical="center"/>
    </xf>
    <xf numFmtId="0" fontId="27" fillId="0" borderId="32" xfId="27" applyFont="1" applyBorder="1" applyAlignment="1">
      <alignment horizontal="center" vertical="center"/>
    </xf>
    <xf numFmtId="0" fontId="27" fillId="0" borderId="16" xfId="27" applyFont="1" applyBorder="1" applyAlignment="1">
      <alignment horizontal="center" vertical="center"/>
    </xf>
    <xf numFmtId="0" fontId="27" fillId="0" borderId="0" xfId="27" applyFont="1" applyAlignment="1">
      <alignment horizontal="center" vertical="center"/>
    </xf>
    <xf numFmtId="0" fontId="27" fillId="0" borderId="0" xfId="27" applyFont="1" applyAlignment="1">
      <alignment horizontal="left" vertical="center" indent="1"/>
    </xf>
    <xf numFmtId="0" fontId="31" fillId="0" borderId="0" xfId="27" applyFont="1" applyAlignment="1">
      <alignment vertical="center"/>
    </xf>
    <xf numFmtId="0" fontId="27" fillId="0" borderId="16" xfId="27" applyFont="1" applyBorder="1" applyAlignment="1">
      <alignment vertical="center"/>
    </xf>
    <xf numFmtId="0" fontId="27" fillId="0" borderId="17" xfId="27" applyFont="1" applyBorder="1" applyAlignment="1">
      <alignment vertical="center"/>
    </xf>
    <xf numFmtId="0" fontId="32" fillId="0" borderId="16" xfId="27" applyFont="1" applyBorder="1" applyAlignment="1">
      <alignment horizontal="left" vertical="center" indent="1"/>
    </xf>
    <xf numFmtId="0" fontId="37" fillId="0" borderId="0" xfId="27" applyFont="1" applyAlignment="1">
      <alignment vertical="center"/>
    </xf>
    <xf numFmtId="0" fontId="37" fillId="12" borderId="33" xfId="27" applyFont="1" applyFill="1" applyBorder="1" applyAlignment="1">
      <alignment horizontal="center" vertical="center"/>
    </xf>
    <xf numFmtId="0" fontId="37" fillId="12" borderId="34" xfId="27" applyFont="1" applyFill="1" applyBorder="1" applyAlignment="1">
      <alignment horizontal="center" vertical="center"/>
    </xf>
    <xf numFmtId="3" fontId="37" fillId="12" borderId="34" xfId="27" applyNumberFormat="1" applyFont="1" applyFill="1" applyBorder="1" applyAlignment="1">
      <alignment horizontal="center" vertical="center"/>
    </xf>
    <xf numFmtId="0" fontId="27" fillId="0" borderId="38" xfId="27" applyFont="1" applyBorder="1" applyAlignment="1">
      <alignment horizontal="center" vertical="center"/>
    </xf>
    <xf numFmtId="0" fontId="27" fillId="0" borderId="42" xfId="27" applyFont="1" applyBorder="1" applyAlignment="1">
      <alignment horizontal="center" vertical="center"/>
    </xf>
    <xf numFmtId="0" fontId="27" fillId="0" borderId="48" xfId="30" applyFont="1" applyBorder="1" applyAlignment="1">
      <alignment horizontal="center" vertical="center"/>
    </xf>
    <xf numFmtId="176" fontId="27" fillId="0" borderId="0" xfId="28" applyNumberFormat="1" applyFont="1">
      <alignment vertical="center"/>
    </xf>
    <xf numFmtId="0" fontId="27" fillId="0" borderId="52" xfId="30" applyFont="1" applyBorder="1" applyAlignment="1">
      <alignment horizontal="left" vertical="center" wrapText="1" indent="1"/>
    </xf>
    <xf numFmtId="0" fontId="31" fillId="0" borderId="57" xfId="30" applyFont="1" applyBorder="1" applyAlignment="1">
      <alignment horizontal="center" vertical="center"/>
    </xf>
    <xf numFmtId="185" fontId="31" fillId="0" borderId="57" xfId="30" applyNumberFormat="1" applyFont="1" applyBorder="1" applyAlignment="1">
      <alignment horizontal="center" vertical="center"/>
    </xf>
    <xf numFmtId="177" fontId="27" fillId="0" borderId="0" xfId="28" applyNumberFormat="1" applyFont="1">
      <alignment vertical="center"/>
    </xf>
    <xf numFmtId="2" fontId="31" fillId="0" borderId="59" xfId="30" applyNumberFormat="1" applyFont="1" applyBorder="1" applyAlignment="1">
      <alignment horizontal="center" vertical="center"/>
    </xf>
    <xf numFmtId="0" fontId="31" fillId="0" borderId="62" xfId="30" applyFont="1" applyBorder="1" applyAlignment="1">
      <alignment horizontal="center" vertical="center"/>
    </xf>
    <xf numFmtId="0" fontId="27" fillId="0" borderId="64" xfId="27" applyFont="1" applyBorder="1" applyAlignment="1">
      <alignment horizontal="center" vertical="center"/>
    </xf>
    <xf numFmtId="0" fontId="27" fillId="0" borderId="65" xfId="30" applyFont="1" applyBorder="1" applyAlignment="1">
      <alignment horizontal="left" vertical="center" wrapText="1" indent="1"/>
    </xf>
    <xf numFmtId="1" fontId="31" fillId="0" borderId="66" xfId="30" applyNumberFormat="1" applyFont="1" applyBorder="1" applyAlignment="1">
      <alignment horizontal="center" vertical="center"/>
    </xf>
    <xf numFmtId="0" fontId="31" fillId="0" borderId="66" xfId="30" applyFont="1" applyBorder="1" applyAlignment="1">
      <alignment horizontal="center" vertical="center"/>
    </xf>
    <xf numFmtId="0" fontId="31" fillId="0" borderId="70" xfId="30" applyFont="1" applyBorder="1" applyAlignment="1">
      <alignment horizontal="center" vertical="center"/>
    </xf>
    <xf numFmtId="176" fontId="27" fillId="0" borderId="0" xfId="31" applyFont="1">
      <alignment vertical="center"/>
    </xf>
    <xf numFmtId="176" fontId="41" fillId="13" borderId="35" xfId="27" applyNumberFormat="1" applyFont="1" applyFill="1" applyBorder="1" applyAlignment="1">
      <alignment horizontal="right" vertical="center"/>
    </xf>
    <xf numFmtId="0" fontId="41" fillId="13" borderId="35" xfId="27" applyFont="1" applyFill="1" applyBorder="1" applyAlignment="1">
      <alignment horizontal="right" vertical="center"/>
    </xf>
    <xf numFmtId="176" fontId="41" fillId="13" borderId="72" xfId="31" applyFont="1" applyFill="1" applyBorder="1" applyAlignment="1">
      <alignment horizontal="right" vertical="center"/>
    </xf>
    <xf numFmtId="179" fontId="27" fillId="0" borderId="0" xfId="33" applyFont="1" applyAlignment="1">
      <alignment vertical="center"/>
    </xf>
    <xf numFmtId="49" fontId="31" fillId="0" borderId="16" xfId="27" applyNumberFormat="1" applyFont="1" applyBorder="1" applyAlignment="1">
      <alignment horizontal="left" vertical="center" indent="1"/>
    </xf>
    <xf numFmtId="49" fontId="27" fillId="0" borderId="0" xfId="27" applyNumberFormat="1" applyFont="1" applyAlignment="1">
      <alignment vertical="center"/>
    </xf>
    <xf numFmtId="49" fontId="27" fillId="0" borderId="17" xfId="27" applyNumberFormat="1" applyFont="1" applyBorder="1" applyAlignment="1">
      <alignment vertical="center"/>
    </xf>
    <xf numFmtId="49" fontId="27" fillId="0" borderId="16" xfId="27" applyNumberFormat="1" applyFont="1" applyBorder="1" applyAlignment="1">
      <alignment vertical="center"/>
    </xf>
    <xf numFmtId="0" fontId="32" fillId="0" borderId="0" xfId="30" applyFont="1" applyAlignment="1">
      <alignment horizontal="left" vertical="center"/>
    </xf>
    <xf numFmtId="0" fontId="32" fillId="0" borderId="17" xfId="30" applyFont="1" applyBorder="1" applyAlignment="1">
      <alignment horizontal="left" vertical="center"/>
    </xf>
    <xf numFmtId="49" fontId="27" fillId="0" borderId="74" xfId="27" applyNumberFormat="1" applyFont="1" applyBorder="1" applyAlignment="1">
      <alignment vertical="center"/>
    </xf>
    <xf numFmtId="49" fontId="27" fillId="0" borderId="75" xfId="27" applyNumberFormat="1" applyFont="1" applyBorder="1" applyAlignment="1">
      <alignment vertical="center"/>
    </xf>
    <xf numFmtId="49" fontId="27" fillId="0" borderId="76" xfId="27" applyNumberFormat="1" applyFont="1" applyBorder="1" applyAlignment="1">
      <alignment vertical="center"/>
    </xf>
    <xf numFmtId="0" fontId="32" fillId="0" borderId="18" xfId="27" applyFont="1" applyBorder="1" applyAlignment="1">
      <alignment vertical="center"/>
    </xf>
    <xf numFmtId="0" fontId="27" fillId="0" borderId="19" xfId="27" applyFont="1" applyBorder="1" applyAlignment="1">
      <alignment horizontal="right" vertical="center"/>
    </xf>
    <xf numFmtId="0" fontId="27" fillId="0" borderId="39" xfId="30" applyFont="1" applyBorder="1" applyAlignment="1">
      <alignment horizontal="center" vertical="center"/>
    </xf>
    <xf numFmtId="0" fontId="27" fillId="0" borderId="41" xfId="30" applyFont="1" applyBorder="1" applyAlignment="1">
      <alignment horizontal="center" vertical="center"/>
    </xf>
    <xf numFmtId="0" fontId="27" fillId="0" borderId="46" xfId="30" applyFont="1" applyBorder="1" applyAlignment="1">
      <alignment horizontal="center" vertical="center"/>
    </xf>
    <xf numFmtId="0" fontId="31" fillId="0" borderId="53" xfId="30" applyFont="1" applyBorder="1" applyAlignment="1">
      <alignment horizontal="center" vertical="center"/>
    </xf>
    <xf numFmtId="0" fontId="31" fillId="0" borderId="66" xfId="30" applyFont="1" applyBorder="1" applyAlignment="1">
      <alignment horizontal="left" vertical="center" wrapText="1" indent="1"/>
    </xf>
    <xf numFmtId="0" fontId="31" fillId="0" borderId="67" xfId="30" applyFont="1" applyBorder="1" applyAlignment="1">
      <alignment horizontal="left" vertical="center" wrapText="1" indent="1"/>
    </xf>
    <xf numFmtId="0" fontId="31" fillId="0" borderId="68" xfId="30" applyFont="1" applyBorder="1" applyAlignment="1">
      <alignment horizontal="left" vertical="center" wrapText="1" indent="1"/>
    </xf>
    <xf numFmtId="176" fontId="27" fillId="0" borderId="66" xfId="31" applyFont="1" applyFill="1" applyBorder="1" applyAlignment="1">
      <alignment horizontal="right" vertical="center"/>
    </xf>
    <xf numFmtId="176" fontId="27" fillId="0" borderId="67" xfId="31" applyFont="1" applyFill="1" applyBorder="1" applyAlignment="1">
      <alignment horizontal="right" vertical="center"/>
    </xf>
    <xf numFmtId="176" fontId="27" fillId="0" borderId="68" xfId="31" applyFont="1" applyFill="1" applyBorder="1" applyAlignment="1">
      <alignment horizontal="right" vertical="center"/>
    </xf>
    <xf numFmtId="176" fontId="27" fillId="0" borderId="66" xfId="32" applyFont="1" applyFill="1" applyBorder="1" applyAlignment="1">
      <alignment horizontal="left" vertical="center"/>
    </xf>
    <xf numFmtId="176" fontId="27" fillId="0" borderId="69" xfId="32" applyFont="1" applyFill="1" applyBorder="1" applyAlignment="1">
      <alignment horizontal="left" vertical="center"/>
    </xf>
    <xf numFmtId="0" fontId="41" fillId="13" borderId="71" xfId="27" applyFont="1" applyFill="1" applyBorder="1" applyAlignment="1">
      <alignment horizontal="center" vertical="center"/>
    </xf>
    <xf numFmtId="0" fontId="41" fillId="13" borderId="35" xfId="27" applyFont="1" applyFill="1" applyBorder="1" applyAlignment="1">
      <alignment horizontal="center" vertical="center"/>
    </xf>
    <xf numFmtId="0" fontId="41" fillId="13" borderId="72" xfId="27" applyFont="1" applyFill="1" applyBorder="1" applyAlignment="1">
      <alignment horizontal="center" vertical="center"/>
    </xf>
    <xf numFmtId="9" fontId="41" fillId="13" borderId="73" xfId="2" applyFont="1" applyFill="1" applyBorder="1" applyAlignment="1">
      <alignment horizontal="center" vertical="center"/>
    </xf>
    <xf numFmtId="9" fontId="41" fillId="13" borderId="37" xfId="2" applyFont="1" applyFill="1" applyBorder="1" applyAlignment="1">
      <alignment horizontal="center" vertical="center"/>
    </xf>
    <xf numFmtId="176" fontId="27" fillId="0" borderId="48" xfId="31" applyFont="1" applyFill="1" applyBorder="1" applyAlignment="1">
      <alignment horizontal="right" vertical="center"/>
    </xf>
    <xf numFmtId="176" fontId="27" fillId="0" borderId="49" xfId="31" applyFont="1" applyFill="1" applyBorder="1" applyAlignment="1">
      <alignment horizontal="right" vertical="center"/>
    </xf>
    <xf numFmtId="176" fontId="27" fillId="0" borderId="50" xfId="31" applyFont="1" applyFill="1" applyBorder="1" applyAlignment="1">
      <alignment horizontal="right" vertical="center"/>
    </xf>
    <xf numFmtId="176" fontId="27" fillId="0" borderId="48" xfId="32" applyFont="1" applyFill="1" applyBorder="1" applyAlignment="1">
      <alignment horizontal="left" vertical="center"/>
    </xf>
    <xf numFmtId="176" fontId="27" fillId="0" borderId="51" xfId="32" applyFont="1" applyFill="1" applyBorder="1" applyAlignment="1">
      <alignment horizontal="left" vertical="center"/>
    </xf>
    <xf numFmtId="176" fontId="40" fillId="0" borderId="66" xfId="32" applyFont="1" applyBorder="1" applyAlignment="1">
      <alignment horizontal="left" vertical="center"/>
    </xf>
    <xf numFmtId="176" fontId="40" fillId="0" borderId="69" xfId="32" applyFont="1" applyBorder="1" applyAlignment="1">
      <alignment horizontal="left" vertical="center"/>
    </xf>
    <xf numFmtId="0" fontId="31" fillId="0" borderId="59" xfId="30" applyFont="1" applyBorder="1" applyAlignment="1">
      <alignment horizontal="left" vertical="center" wrapText="1" indent="1"/>
    </xf>
    <xf numFmtId="0" fontId="31" fillId="0" borderId="60" xfId="30" applyFont="1" applyBorder="1" applyAlignment="1">
      <alignment horizontal="left" vertical="center" wrapText="1" indent="1"/>
    </xf>
    <xf numFmtId="0" fontId="31" fillId="0" borderId="61" xfId="30" applyFont="1" applyBorder="1" applyAlignment="1">
      <alignment horizontal="left" vertical="center" wrapText="1" indent="1"/>
    </xf>
    <xf numFmtId="176" fontId="27" fillId="0" borderId="59" xfId="31" applyFont="1" applyFill="1" applyBorder="1" applyAlignment="1">
      <alignment horizontal="right" vertical="center"/>
    </xf>
    <xf numFmtId="176" fontId="27" fillId="0" borderId="60" xfId="31" applyFont="1" applyFill="1" applyBorder="1" applyAlignment="1">
      <alignment horizontal="right" vertical="center"/>
    </xf>
    <xf numFmtId="176" fontId="27" fillId="0" borderId="61" xfId="31" applyFont="1" applyFill="1" applyBorder="1" applyAlignment="1">
      <alignment horizontal="right" vertical="center"/>
    </xf>
    <xf numFmtId="176" fontId="27" fillId="0" borderId="57" xfId="32" applyFont="1" applyFill="1" applyBorder="1" applyAlignment="1">
      <alignment horizontal="left" vertical="center"/>
    </xf>
    <xf numFmtId="176" fontId="27" fillId="0" borderId="25" xfId="32" applyFont="1" applyFill="1" applyBorder="1" applyAlignment="1">
      <alignment horizontal="left" vertical="center"/>
    </xf>
    <xf numFmtId="176" fontId="27" fillId="0" borderId="59" xfId="32" applyFont="1" applyFill="1" applyBorder="1" applyAlignment="1">
      <alignment horizontal="left" vertical="center"/>
    </xf>
    <xf numFmtId="176" fontId="27" fillId="0" borderId="63" xfId="32" applyFont="1" applyFill="1" applyBorder="1" applyAlignment="1">
      <alignment horizontal="left" vertical="center"/>
    </xf>
    <xf numFmtId="0" fontId="31" fillId="0" borderId="57" xfId="30" applyFont="1" applyBorder="1" applyAlignment="1">
      <alignment horizontal="left" vertical="center" wrapText="1" indent="1"/>
    </xf>
    <xf numFmtId="0" fontId="31" fillId="0" borderId="4" xfId="30" applyFont="1" applyBorder="1" applyAlignment="1">
      <alignment horizontal="left" vertical="center" wrapText="1" indent="1"/>
    </xf>
    <xf numFmtId="0" fontId="31" fillId="0" borderId="58" xfId="30" applyFont="1" applyBorder="1" applyAlignment="1">
      <alignment horizontal="left" vertical="center" wrapText="1" indent="1"/>
    </xf>
    <xf numFmtId="176" fontId="27" fillId="0" borderId="57" xfId="31" applyFont="1" applyFill="1" applyBorder="1" applyAlignment="1">
      <alignment horizontal="right" vertical="center"/>
    </xf>
    <xf numFmtId="176" fontId="27" fillId="0" borderId="4" xfId="31" applyFont="1" applyFill="1" applyBorder="1" applyAlignment="1">
      <alignment horizontal="right" vertical="center"/>
    </xf>
    <xf numFmtId="176" fontId="27" fillId="0" borderId="58" xfId="31" applyFont="1" applyFill="1" applyBorder="1" applyAlignment="1">
      <alignment horizontal="right" vertical="center"/>
    </xf>
    <xf numFmtId="0" fontId="31" fillId="0" borderId="53" xfId="30" applyFont="1" applyBorder="1" applyAlignment="1">
      <alignment horizontal="left" vertical="center" wrapText="1" indent="1"/>
    </xf>
    <xf numFmtId="0" fontId="31" fillId="0" borderId="54" xfId="30" applyFont="1" applyBorder="1" applyAlignment="1">
      <alignment horizontal="left" vertical="center" wrapText="1" indent="1"/>
    </xf>
    <xf numFmtId="0" fontId="31" fillId="0" borderId="55" xfId="30" applyFont="1" applyBorder="1" applyAlignment="1">
      <alignment horizontal="left" vertical="center" wrapText="1" indent="1"/>
    </xf>
    <xf numFmtId="176" fontId="27" fillId="0" borderId="53" xfId="31" applyFont="1" applyFill="1" applyBorder="1" applyAlignment="1">
      <alignment horizontal="right" vertical="center"/>
    </xf>
    <xf numFmtId="176" fontId="27" fillId="0" borderId="54" xfId="31" applyFont="1" applyFill="1" applyBorder="1" applyAlignment="1">
      <alignment horizontal="right" vertical="center"/>
    </xf>
    <xf numFmtId="176" fontId="27" fillId="0" borderId="55" xfId="31" applyFont="1" applyFill="1" applyBorder="1" applyAlignment="1">
      <alignment horizontal="right" vertical="center"/>
    </xf>
    <xf numFmtId="176" fontId="27" fillId="0" borderId="53" xfId="32" applyFont="1" applyBorder="1" applyAlignment="1">
      <alignment horizontal="left" vertical="center"/>
    </xf>
    <xf numFmtId="176" fontId="27" fillId="0" borderId="56" xfId="32" applyFont="1" applyBorder="1" applyAlignment="1">
      <alignment horizontal="left" vertical="center"/>
    </xf>
    <xf numFmtId="0" fontId="27" fillId="0" borderId="43" xfId="30" applyFont="1" applyBorder="1" applyAlignment="1">
      <alignment horizontal="center" vertical="center" wrapText="1"/>
    </xf>
    <xf numFmtId="0" fontId="27" fillId="0" borderId="44" xfId="30" applyFont="1" applyBorder="1" applyAlignment="1">
      <alignment horizontal="center" vertical="center" wrapText="1"/>
    </xf>
    <xf numFmtId="0" fontId="27" fillId="0" borderId="45" xfId="30" applyFont="1" applyBorder="1" applyAlignment="1">
      <alignment horizontal="center" vertical="center" wrapText="1"/>
    </xf>
    <xf numFmtId="176" fontId="27" fillId="0" borderId="43" xfId="31" applyFont="1" applyFill="1" applyBorder="1" applyAlignment="1">
      <alignment horizontal="right" vertical="center"/>
    </xf>
    <xf numFmtId="176" fontId="27" fillId="0" borderId="44" xfId="31" applyFont="1" applyFill="1" applyBorder="1" applyAlignment="1">
      <alignment horizontal="right" vertical="center"/>
    </xf>
    <xf numFmtId="176" fontId="27" fillId="0" borderId="45" xfId="31" applyFont="1" applyFill="1" applyBorder="1" applyAlignment="1">
      <alignment horizontal="right" vertical="center"/>
    </xf>
    <xf numFmtId="176" fontId="27" fillId="0" borderId="43" xfId="32" applyFont="1" applyBorder="1" applyAlignment="1">
      <alignment horizontal="left" vertical="center"/>
    </xf>
    <xf numFmtId="176" fontId="27" fillId="0" borderId="47" xfId="32" applyFont="1" applyBorder="1" applyAlignment="1">
      <alignment horizontal="left" vertical="center"/>
    </xf>
    <xf numFmtId="176" fontId="27" fillId="0" borderId="48" xfId="31" applyFont="1" applyBorder="1" applyAlignment="1">
      <alignment horizontal="center" vertical="center"/>
    </xf>
    <xf numFmtId="176" fontId="27" fillId="0" borderId="49" xfId="31" applyFont="1" applyBorder="1" applyAlignment="1">
      <alignment horizontal="center" vertical="center"/>
    </xf>
    <xf numFmtId="176" fontId="27" fillId="0" borderId="50" xfId="31" applyFont="1" applyBorder="1" applyAlignment="1">
      <alignment horizontal="center" vertical="center"/>
    </xf>
    <xf numFmtId="176" fontId="27" fillId="0" borderId="48" xfId="32" applyFont="1" applyBorder="1" applyAlignment="1">
      <alignment horizontal="left" vertical="center"/>
    </xf>
    <xf numFmtId="176" fontId="27" fillId="0" borderId="51" xfId="32" applyFont="1" applyBorder="1" applyAlignment="1">
      <alignment horizontal="left" vertical="center"/>
    </xf>
    <xf numFmtId="0" fontId="38" fillId="11" borderId="0" xfId="29" applyFont="1" applyFill="1" applyAlignment="1">
      <alignment horizontal="left" vertical="center"/>
    </xf>
    <xf numFmtId="0" fontId="38" fillId="11" borderId="17" xfId="29" applyFont="1" applyFill="1" applyBorder="1" applyAlignment="1">
      <alignment horizontal="left" vertical="center"/>
    </xf>
    <xf numFmtId="0" fontId="27" fillId="0" borderId="0" xfId="27" applyFont="1" applyAlignment="1">
      <alignment horizontal="right" vertical="center"/>
    </xf>
    <xf numFmtId="0" fontId="27" fillId="0" borderId="17" xfId="27" applyFont="1" applyBorder="1" applyAlignment="1">
      <alignment horizontal="right" vertical="center"/>
    </xf>
    <xf numFmtId="0" fontId="27" fillId="0" borderId="39" xfId="30" applyFont="1" applyBorder="1" applyAlignment="1">
      <alignment horizontal="center" vertical="center" wrapText="1"/>
    </xf>
    <xf numFmtId="0" fontId="27" fillId="0" borderId="20" xfId="30" applyFont="1" applyBorder="1" applyAlignment="1">
      <alignment horizontal="center" vertical="center" wrapText="1"/>
    </xf>
    <xf numFmtId="0" fontId="27" fillId="0" borderId="40" xfId="30" applyFont="1" applyBorder="1" applyAlignment="1">
      <alignment horizontal="center" vertical="center" wrapText="1"/>
    </xf>
    <xf numFmtId="176" fontId="27" fillId="0" borderId="41" xfId="31" applyFont="1" applyFill="1" applyBorder="1" applyAlignment="1">
      <alignment horizontal="right" vertical="center"/>
    </xf>
    <xf numFmtId="176" fontId="27" fillId="0" borderId="39" xfId="30" applyNumberFormat="1" applyFont="1" applyBorder="1" applyAlignment="1">
      <alignment horizontal="left" vertical="center"/>
    </xf>
    <xf numFmtId="176" fontId="27" fillId="0" borderId="21" xfId="30" applyNumberFormat="1" applyFont="1" applyBorder="1" applyAlignment="1">
      <alignment horizontal="left" vertical="center"/>
    </xf>
    <xf numFmtId="0" fontId="37" fillId="12" borderId="34" xfId="27" applyFont="1" applyFill="1" applyBorder="1" applyAlignment="1">
      <alignment horizontal="center" vertical="center"/>
    </xf>
    <xf numFmtId="0" fontId="37" fillId="12" borderId="35" xfId="27" applyFont="1" applyFill="1" applyBorder="1" applyAlignment="1">
      <alignment horizontal="center" vertical="center"/>
    </xf>
    <xf numFmtId="0" fontId="37" fillId="12" borderId="36" xfId="27" applyFont="1" applyFill="1" applyBorder="1" applyAlignment="1">
      <alignment horizontal="center" vertical="center"/>
    </xf>
    <xf numFmtId="3" fontId="37" fillId="12" borderId="34" xfId="27" applyNumberFormat="1" applyFont="1" applyFill="1" applyBorder="1" applyAlignment="1">
      <alignment horizontal="center" vertical="center"/>
    </xf>
    <xf numFmtId="3" fontId="37" fillId="12" borderId="35" xfId="27" applyNumberFormat="1" applyFont="1" applyFill="1" applyBorder="1" applyAlignment="1">
      <alignment horizontal="center" vertical="center"/>
    </xf>
    <xf numFmtId="3" fontId="37" fillId="12" borderId="36" xfId="27" applyNumberFormat="1" applyFont="1" applyFill="1" applyBorder="1" applyAlignment="1">
      <alignment horizontal="center" vertical="center"/>
    </xf>
    <xf numFmtId="0" fontId="37" fillId="12" borderId="37" xfId="27" applyFont="1" applyFill="1" applyBorder="1" applyAlignment="1">
      <alignment horizontal="center" vertical="center"/>
    </xf>
    <xf numFmtId="186" fontId="36" fillId="11" borderId="0" xfId="27" applyNumberFormat="1" applyFont="1" applyFill="1" applyAlignment="1">
      <alignment horizontal="left" vertical="center"/>
    </xf>
    <xf numFmtId="0" fontId="26" fillId="0" borderId="13" xfId="27" applyFont="1" applyBorder="1" applyAlignment="1">
      <alignment horizontal="center" vertical="center"/>
    </xf>
    <xf numFmtId="0" fontId="26" fillId="0" borderId="14" xfId="27" applyFont="1" applyBorder="1" applyAlignment="1">
      <alignment horizontal="center" vertical="center"/>
    </xf>
    <xf numFmtId="0" fontId="26" fillId="0" borderId="15" xfId="27" applyFont="1" applyBorder="1" applyAlignment="1">
      <alignment horizontal="center" vertical="center"/>
    </xf>
    <xf numFmtId="0" fontId="28" fillId="0" borderId="16" xfId="27" applyFont="1" applyBorder="1" applyAlignment="1" applyProtection="1">
      <alignment horizontal="center" vertical="center"/>
      <protection locked="0"/>
    </xf>
    <xf numFmtId="0" fontId="28" fillId="0" borderId="0" xfId="27" applyFont="1" applyAlignment="1" applyProtection="1">
      <alignment horizontal="center" vertical="center"/>
      <protection locked="0"/>
    </xf>
    <xf numFmtId="0" fontId="28" fillId="0" borderId="17" xfId="27" applyFont="1" applyBorder="1" applyAlignment="1" applyProtection="1">
      <alignment horizontal="center" vertical="center"/>
      <protection locked="0"/>
    </xf>
    <xf numFmtId="0" fontId="27" fillId="10" borderId="19" xfId="27" applyFont="1" applyFill="1" applyBorder="1" applyAlignment="1">
      <alignment horizontal="center" vertical="center"/>
    </xf>
    <xf numFmtId="0" fontId="27" fillId="10" borderId="20" xfId="27" applyFont="1" applyFill="1" applyBorder="1" applyAlignment="1">
      <alignment horizontal="center" vertical="center"/>
    </xf>
    <xf numFmtId="0" fontId="27" fillId="10" borderId="21" xfId="27" applyFont="1" applyFill="1" applyBorder="1" applyAlignment="1">
      <alignment horizontal="center" vertical="center"/>
    </xf>
    <xf numFmtId="0" fontId="27" fillId="0" borderId="22" xfId="27" applyFont="1" applyBorder="1" applyAlignment="1">
      <alignment horizontal="center" vertical="center" wrapText="1"/>
    </xf>
    <xf numFmtId="0" fontId="27" fillId="0" borderId="26" xfId="27" applyFont="1" applyBorder="1" applyAlignment="1">
      <alignment horizontal="center" vertical="center"/>
    </xf>
    <xf numFmtId="0" fontId="27" fillId="0" borderId="30" xfId="27" applyFont="1" applyBorder="1" applyAlignment="1">
      <alignment horizontal="center" vertical="center"/>
    </xf>
    <xf numFmtId="0" fontId="27" fillId="0" borderId="24" xfId="27" applyFont="1" applyBorder="1" applyAlignment="1">
      <alignment horizontal="center" vertical="center"/>
    </xf>
    <xf numFmtId="0" fontId="27" fillId="0" borderId="4" xfId="27" applyFont="1" applyBorder="1" applyAlignment="1">
      <alignment horizontal="center" vertical="center"/>
    </xf>
    <xf numFmtId="0" fontId="27" fillId="0" borderId="25" xfId="27" applyFont="1" applyBorder="1" applyAlignment="1">
      <alignment horizontal="center" vertical="center"/>
    </xf>
    <xf numFmtId="0" fontId="34" fillId="0" borderId="24" xfId="27" applyFont="1" applyBorder="1" applyAlignment="1">
      <alignment horizontal="center" vertical="center"/>
    </xf>
    <xf numFmtId="0" fontId="32" fillId="0" borderId="4" xfId="27" applyFont="1" applyBorder="1" applyAlignment="1">
      <alignment horizontal="center" vertical="center"/>
    </xf>
    <xf numFmtId="0" fontId="32" fillId="0" borderId="5" xfId="27" applyFont="1" applyBorder="1" applyAlignment="1">
      <alignment horizontal="center" vertical="center"/>
    </xf>
    <xf numFmtId="0" fontId="34" fillId="0" borderId="3" xfId="27" applyFont="1" applyBorder="1" applyAlignment="1">
      <alignment horizontal="center" vertical="center"/>
    </xf>
    <xf numFmtId="0" fontId="32" fillId="0" borderId="25" xfId="27" applyFont="1" applyBorder="1" applyAlignment="1">
      <alignment horizontal="center" vertical="center"/>
    </xf>
    <xf numFmtId="0" fontId="27" fillId="0" borderId="24" xfId="27" applyFont="1" applyBorder="1" applyAlignment="1">
      <alignment horizontal="left" vertical="center" indent="1"/>
    </xf>
    <xf numFmtId="0" fontId="27" fillId="0" borderId="4" xfId="27" applyFont="1" applyBorder="1" applyAlignment="1">
      <alignment horizontal="left" vertical="center" indent="1"/>
    </xf>
    <xf numFmtId="0" fontId="27" fillId="0" borderId="25" xfId="27" applyFont="1" applyBorder="1" applyAlignment="1">
      <alignment horizontal="left" vertical="center" indent="1"/>
    </xf>
    <xf numFmtId="0" fontId="27" fillId="0" borderId="3" xfId="27" applyFont="1" applyBorder="1" applyAlignment="1">
      <alignment horizontal="center" vertical="center"/>
    </xf>
    <xf numFmtId="0" fontId="27" fillId="0" borderId="27" xfId="27" applyFont="1" applyBorder="1" applyAlignment="1">
      <alignment horizontal="center" vertical="center"/>
    </xf>
    <xf numFmtId="0" fontId="27" fillId="0" borderId="28" xfId="27" applyFont="1" applyBorder="1" applyAlignment="1">
      <alignment horizontal="center" vertical="center"/>
    </xf>
    <xf numFmtId="0" fontId="27" fillId="0" borderId="29" xfId="27" applyFont="1" applyBorder="1" applyAlignment="1">
      <alignment horizontal="center" vertical="center"/>
    </xf>
    <xf numFmtId="0" fontId="27" fillId="0" borderId="27" xfId="27" applyFont="1" applyBorder="1" applyAlignment="1">
      <alignment horizontal="left" vertical="center" indent="1"/>
    </xf>
    <xf numFmtId="0" fontId="27" fillId="0" borderId="28" xfId="27" applyFont="1" applyBorder="1" applyAlignment="1">
      <alignment horizontal="left" vertical="center" indent="1"/>
    </xf>
    <xf numFmtId="0" fontId="27" fillId="0" borderId="29" xfId="27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2" xr:uid="{85C47B1F-E073-40C4-8BDC-A338EF1C9995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4" xr:uid="{565F23C6-5D21-4ED7-80E3-0750F340E9CB}"/>
    <cellStyle name="쉼표 [0] 3" xfId="14" xr:uid="{8F7BE219-40E1-4BBB-A9BD-02188B74B2A3}"/>
    <cellStyle name="쉼표 [0] 4" xfId="31" xr:uid="{CAB22C01-08B1-4AF4-BAB9-C89FE6AF3108}"/>
    <cellStyle name="쉼표 [0] 5" xfId="33" xr:uid="{799D7660-81D9-41A6-BBBF-FEC9D3271BE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8" xr:uid="{D5559EF2-80B2-4D8E-9E39-F01CECE4744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26" xr:uid="{27306CBF-92D0-42A2-8354-67A3F495EE38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_p1공장 외벽청소(08.03.17)" xfId="29" xr:uid="{EDB6643F-9169-4F6B-A92E-A7BF617FEE02}"/>
    <cellStyle name="표준_P456 공장 및 복지동 전면 유리창 청소건 라상혁님_1129(최종)" xfId="30" xr:uid="{DDEC457E-6388-4087-9BC6-164E9D4078FF}"/>
    <cellStyle name="표준_S&amp;D_MAIN VALVE_최빈_2" xfId="27" xr:uid="{368CEBA6-86D2-4807-A75C-3DCC228E98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AE3F94-39E7-484E-BC29-9FAFACB36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09C4-673C-4C3E-8D8E-A7FD6FF3BA66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 x14ac:dyDescent="0.3">
      <c r="A1" s="196"/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8"/>
    </row>
    <row r="2" spans="1:15" ht="9.75" customHeight="1" x14ac:dyDescent="0.3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 x14ac:dyDescent="0.3">
      <c r="A3" s="199" t="s">
        <v>54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1"/>
    </row>
    <row r="4" spans="1:15" ht="16.5" customHeight="1" x14ac:dyDescent="0.3">
      <c r="A4" s="54" t="s">
        <v>55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 x14ac:dyDescent="0.3">
      <c r="A5" s="59"/>
      <c r="B5" s="115" t="s">
        <v>119</v>
      </c>
      <c r="C5" s="115"/>
      <c r="D5" s="115"/>
      <c r="E5" s="115"/>
      <c r="F5" s="115"/>
      <c r="G5" s="60"/>
      <c r="H5" s="60"/>
      <c r="I5" s="60"/>
      <c r="J5" s="60"/>
      <c r="K5" s="60"/>
      <c r="L5" s="60"/>
      <c r="M5" s="61"/>
      <c r="N5" s="61"/>
      <c r="O5" s="62"/>
    </row>
    <row r="6" spans="1:15" ht="12" customHeight="1" thickBot="1" x14ac:dyDescent="0.35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 x14ac:dyDescent="0.3">
      <c r="A7" s="202" t="s">
        <v>56</v>
      </c>
      <c r="B7" s="203"/>
      <c r="C7" s="204"/>
      <c r="D7" s="116">
        <v>2026</v>
      </c>
      <c r="E7" s="67" t="s">
        <v>57</v>
      </c>
      <c r="F7" s="67">
        <v>6</v>
      </c>
      <c r="G7" s="67" t="s">
        <v>58</v>
      </c>
      <c r="H7" s="67">
        <v>1</v>
      </c>
      <c r="I7" s="67" t="s">
        <v>59</v>
      </c>
      <c r="J7" s="68"/>
      <c r="K7" s="205" t="s">
        <v>60</v>
      </c>
      <c r="L7" s="69" t="s">
        <v>61</v>
      </c>
      <c r="M7" s="69" t="s">
        <v>62</v>
      </c>
      <c r="N7" s="69" t="s">
        <v>63</v>
      </c>
      <c r="O7" s="70" t="s">
        <v>64</v>
      </c>
    </row>
    <row r="8" spans="1:15" ht="23.25" customHeight="1" x14ac:dyDescent="0.3">
      <c r="A8" s="208" t="s">
        <v>65</v>
      </c>
      <c r="B8" s="209"/>
      <c r="C8" s="210"/>
      <c r="D8" s="211" t="s">
        <v>66</v>
      </c>
      <c r="E8" s="212"/>
      <c r="F8" s="212"/>
      <c r="G8" s="213"/>
      <c r="H8" s="214" t="s">
        <v>67</v>
      </c>
      <c r="I8" s="212"/>
      <c r="J8" s="215"/>
      <c r="K8" s="206"/>
      <c r="L8" s="71" t="s">
        <v>68</v>
      </c>
      <c r="M8" s="71" t="s">
        <v>69</v>
      </c>
      <c r="N8" s="71" t="s">
        <v>70</v>
      </c>
      <c r="O8" s="72" t="s">
        <v>71</v>
      </c>
    </row>
    <row r="9" spans="1:15" ht="23.25" customHeight="1" x14ac:dyDescent="0.3">
      <c r="A9" s="208" t="s">
        <v>72</v>
      </c>
      <c r="B9" s="209"/>
      <c r="C9" s="210"/>
      <c r="D9" s="216" t="s">
        <v>73</v>
      </c>
      <c r="E9" s="217"/>
      <c r="F9" s="217"/>
      <c r="G9" s="217"/>
      <c r="H9" s="217"/>
      <c r="I9" s="217"/>
      <c r="J9" s="218"/>
      <c r="K9" s="206"/>
      <c r="L9" s="71" t="s">
        <v>74</v>
      </c>
      <c r="M9" s="219" t="s">
        <v>75</v>
      </c>
      <c r="N9" s="209"/>
      <c r="O9" s="210"/>
    </row>
    <row r="10" spans="1:15" ht="23.25" customHeight="1" thickBot="1" x14ac:dyDescent="0.35">
      <c r="A10" s="220" t="s">
        <v>76</v>
      </c>
      <c r="B10" s="221"/>
      <c r="C10" s="222"/>
      <c r="D10" s="223" t="s">
        <v>77</v>
      </c>
      <c r="E10" s="224"/>
      <c r="F10" s="224"/>
      <c r="G10" s="224"/>
      <c r="H10" s="224"/>
      <c r="I10" s="224"/>
      <c r="J10" s="225"/>
      <c r="K10" s="207"/>
      <c r="L10" s="73" t="s">
        <v>78</v>
      </c>
      <c r="M10" s="73" t="s">
        <v>79</v>
      </c>
      <c r="N10" s="73" t="s">
        <v>80</v>
      </c>
      <c r="O10" s="74" t="s">
        <v>81</v>
      </c>
    </row>
    <row r="11" spans="1:15" ht="21.75" customHeight="1" x14ac:dyDescent="0.3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 x14ac:dyDescent="0.3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 x14ac:dyDescent="0.3">
      <c r="A13" s="81"/>
      <c r="B13" s="195" t="s">
        <v>118</v>
      </c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82" t="s">
        <v>82</v>
      </c>
      <c r="O13" s="80"/>
    </row>
    <row r="14" spans="1:15" ht="9" customHeight="1" x14ac:dyDescent="0.3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 x14ac:dyDescent="0.3">
      <c r="A15" s="81"/>
      <c r="B15" s="178" t="str">
        <f>"견 적 금 액 : 一金"&amp;NUMBERSTRING(M32,1) &amp; "원정""(\"&amp; TEXT(M32,"#,###")&amp;"원) [VAT 별도]"</f>
        <v>견 적 금 액 : 一金일백사십육만사천일백오십원정"(\1,464,150원) [VAT 별도]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9"/>
    </row>
    <row r="16" spans="1:15" ht="15" thickBot="1" x14ac:dyDescent="0.35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80"/>
      <c r="L16" s="180"/>
      <c r="M16" s="180"/>
      <c r="N16" s="180"/>
      <c r="O16" s="181"/>
    </row>
    <row r="17" spans="1:17" ht="27.75" customHeight="1" thickBot="1" x14ac:dyDescent="0.35">
      <c r="A17" s="83" t="s">
        <v>83</v>
      </c>
      <c r="B17" s="188" t="s">
        <v>84</v>
      </c>
      <c r="C17" s="189"/>
      <c r="D17" s="189"/>
      <c r="E17" s="189"/>
      <c r="F17" s="189"/>
      <c r="G17" s="190"/>
      <c r="H17" s="84" t="s">
        <v>85</v>
      </c>
      <c r="I17" s="85" t="s">
        <v>86</v>
      </c>
      <c r="J17" s="191" t="s">
        <v>87</v>
      </c>
      <c r="K17" s="192"/>
      <c r="L17" s="192"/>
      <c r="M17" s="193"/>
      <c r="N17" s="188" t="s">
        <v>88</v>
      </c>
      <c r="O17" s="194"/>
    </row>
    <row r="18" spans="1:17" ht="28.5" customHeight="1" x14ac:dyDescent="0.3">
      <c r="A18" s="86">
        <v>1</v>
      </c>
      <c r="B18" s="182" t="s">
        <v>18</v>
      </c>
      <c r="C18" s="183"/>
      <c r="D18" s="183"/>
      <c r="E18" s="183"/>
      <c r="F18" s="183"/>
      <c r="G18" s="184"/>
      <c r="H18" s="117">
        <v>1</v>
      </c>
      <c r="I18" s="118" t="s">
        <v>6</v>
      </c>
      <c r="J18" s="185">
        <f>IFERROR(LOOKUP(2, 1/(TRIM('내역서(표준단가)'!K4:K100)&lt;&gt;""), '내역서(표준단가)'!K4:K100), "-")</f>
        <v>159107.58000000002</v>
      </c>
      <c r="K18" s="185"/>
      <c r="L18" s="185"/>
      <c r="M18" s="185"/>
      <c r="N18" s="186"/>
      <c r="O18" s="187"/>
    </row>
    <row r="19" spans="1:17" ht="28.5" customHeight="1" x14ac:dyDescent="0.3">
      <c r="A19" s="87">
        <v>2</v>
      </c>
      <c r="B19" s="165" t="s">
        <v>19</v>
      </c>
      <c r="C19" s="166"/>
      <c r="D19" s="166"/>
      <c r="E19" s="166"/>
      <c r="F19" s="166"/>
      <c r="G19" s="167"/>
      <c r="H19" s="119">
        <v>1</v>
      </c>
      <c r="I19" s="119" t="s">
        <v>6</v>
      </c>
      <c r="J19" s="168">
        <f>IFERROR(LOOKUP(2, 1/(TRIM('내역서(표준단가)'!M4:M100)&lt;&gt;""), '내역서(표준단가)'!M4:M100), "-")</f>
        <v>979760.83</v>
      </c>
      <c r="K19" s="169"/>
      <c r="L19" s="169"/>
      <c r="M19" s="170"/>
      <c r="N19" s="171"/>
      <c r="O19" s="172"/>
    </row>
    <row r="20" spans="1:17" ht="28.5" customHeight="1" x14ac:dyDescent="0.3">
      <c r="A20" s="87">
        <v>3</v>
      </c>
      <c r="B20" s="165" t="s">
        <v>89</v>
      </c>
      <c r="C20" s="166"/>
      <c r="D20" s="166"/>
      <c r="E20" s="166"/>
      <c r="F20" s="166"/>
      <c r="G20" s="167"/>
      <c r="H20" s="88">
        <v>1</v>
      </c>
      <c r="I20" s="88" t="s">
        <v>6</v>
      </c>
      <c r="J20" s="173">
        <f>IFERROR(SUM(J21:M29),"-")</f>
        <v>166583.14234707892</v>
      </c>
      <c r="K20" s="174"/>
      <c r="L20" s="174"/>
      <c r="M20" s="175"/>
      <c r="N20" s="176"/>
      <c r="O20" s="177"/>
      <c r="P20" s="89"/>
    </row>
    <row r="21" spans="1:17" ht="28.5" customHeight="1" x14ac:dyDescent="0.3">
      <c r="A21" s="86"/>
      <c r="B21" s="90"/>
      <c r="C21" s="157" t="s">
        <v>90</v>
      </c>
      <c r="D21" s="158"/>
      <c r="E21" s="158"/>
      <c r="F21" s="158"/>
      <c r="G21" s="159"/>
      <c r="H21" s="120">
        <v>1</v>
      </c>
      <c r="I21" s="120" t="s">
        <v>6</v>
      </c>
      <c r="J21" s="160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1"/>
      <c r="L21" s="161"/>
      <c r="M21" s="162"/>
      <c r="N21" s="163" t="s">
        <v>91</v>
      </c>
      <c r="O21" s="164"/>
    </row>
    <row r="22" spans="1:17" ht="28.5" customHeight="1" x14ac:dyDescent="0.3">
      <c r="A22" s="86"/>
      <c r="B22" s="90"/>
      <c r="C22" s="151" t="s">
        <v>92</v>
      </c>
      <c r="D22" s="152"/>
      <c r="E22" s="152"/>
      <c r="F22" s="152"/>
      <c r="G22" s="153"/>
      <c r="H22" s="91">
        <v>3.11</v>
      </c>
      <c r="I22" s="91" t="s">
        <v>93</v>
      </c>
      <c r="J22" s="154">
        <f>IFERROR((J18+J19)*H22%,"-")</f>
        <v>35418.807550999998</v>
      </c>
      <c r="K22" s="155"/>
      <c r="L22" s="155"/>
      <c r="M22" s="156"/>
      <c r="N22" s="147" t="s">
        <v>94</v>
      </c>
      <c r="O22" s="148"/>
    </row>
    <row r="23" spans="1:17" ht="28.5" customHeight="1" x14ac:dyDescent="0.3">
      <c r="A23" s="86"/>
      <c r="B23" s="90"/>
      <c r="C23" s="151" t="s">
        <v>95</v>
      </c>
      <c r="D23" s="152"/>
      <c r="E23" s="152"/>
      <c r="F23" s="152"/>
      <c r="G23" s="153"/>
      <c r="H23" s="91">
        <v>3.56</v>
      </c>
      <c r="I23" s="91" t="s">
        <v>96</v>
      </c>
      <c r="J23" s="154">
        <f>IFERROR(J19*H23%,"-")</f>
        <v>34879.485547999997</v>
      </c>
      <c r="K23" s="155"/>
      <c r="L23" s="155"/>
      <c r="M23" s="156"/>
      <c r="N23" s="147" t="s">
        <v>97</v>
      </c>
      <c r="O23" s="148"/>
    </row>
    <row r="24" spans="1:17" ht="28.5" customHeight="1" x14ac:dyDescent="0.3">
      <c r="A24" s="86"/>
      <c r="B24" s="90"/>
      <c r="C24" s="151" t="s">
        <v>98</v>
      </c>
      <c r="D24" s="152"/>
      <c r="E24" s="152"/>
      <c r="F24" s="152"/>
      <c r="G24" s="153"/>
      <c r="H24" s="91">
        <v>1.01</v>
      </c>
      <c r="I24" s="91" t="s">
        <v>96</v>
      </c>
      <c r="J24" s="154">
        <f>IFERROR(J19*H24%,"-")</f>
        <v>9895.5843829999994</v>
      </c>
      <c r="K24" s="155"/>
      <c r="L24" s="155"/>
      <c r="M24" s="156"/>
      <c r="N24" s="147" t="s">
        <v>99</v>
      </c>
      <c r="O24" s="148"/>
    </row>
    <row r="25" spans="1:17" ht="28.5" customHeight="1" x14ac:dyDescent="0.3">
      <c r="A25" s="86"/>
      <c r="B25" s="90"/>
      <c r="C25" s="151" t="s">
        <v>100</v>
      </c>
      <c r="D25" s="152"/>
      <c r="E25" s="152"/>
      <c r="F25" s="152"/>
      <c r="G25" s="153"/>
      <c r="H25" s="92">
        <v>3.5950000000000002</v>
      </c>
      <c r="I25" s="91" t="s">
        <v>96</v>
      </c>
      <c r="J25" s="154">
        <f>IFERROR(J19*H25%,"-")</f>
        <v>35222.401838500002</v>
      </c>
      <c r="K25" s="155"/>
      <c r="L25" s="155"/>
      <c r="M25" s="156"/>
      <c r="N25" s="147" t="s">
        <v>101</v>
      </c>
      <c r="O25" s="148"/>
      <c r="Q25" s="89"/>
    </row>
    <row r="26" spans="1:17" ht="28.5" customHeight="1" x14ac:dyDescent="0.3">
      <c r="A26" s="86"/>
      <c r="B26" s="90"/>
      <c r="C26" s="151" t="s">
        <v>102</v>
      </c>
      <c r="D26" s="152"/>
      <c r="E26" s="152"/>
      <c r="F26" s="152"/>
      <c r="G26" s="153"/>
      <c r="H26" s="91">
        <v>4.75</v>
      </c>
      <c r="I26" s="91" t="s">
        <v>96</v>
      </c>
      <c r="J26" s="154">
        <f>IFERROR(J19*H26%,"-")</f>
        <v>46538.639425000001</v>
      </c>
      <c r="K26" s="155"/>
      <c r="L26" s="155"/>
      <c r="M26" s="156"/>
      <c r="N26" s="147" t="s">
        <v>103</v>
      </c>
      <c r="O26" s="148"/>
      <c r="Q26" s="93"/>
    </row>
    <row r="27" spans="1:17" ht="28.5" customHeight="1" x14ac:dyDescent="0.3">
      <c r="A27" s="86"/>
      <c r="B27" s="90"/>
      <c r="C27" s="141" t="s">
        <v>104</v>
      </c>
      <c r="D27" s="142"/>
      <c r="E27" s="142"/>
      <c r="F27" s="142"/>
      <c r="G27" s="143"/>
      <c r="H27" s="94">
        <v>13.14</v>
      </c>
      <c r="I27" s="95" t="s">
        <v>96</v>
      </c>
      <c r="J27" s="144">
        <f>IFERROR($H$27*J25%,"-")</f>
        <v>4628.2236015789003</v>
      </c>
      <c r="K27" s="145"/>
      <c r="L27" s="145"/>
      <c r="M27" s="146"/>
      <c r="N27" s="147" t="s">
        <v>105</v>
      </c>
      <c r="O27" s="148"/>
    </row>
    <row r="28" spans="1:17" ht="28.5" customHeight="1" x14ac:dyDescent="0.3">
      <c r="A28" s="86"/>
      <c r="B28" s="90"/>
      <c r="C28" s="141" t="s">
        <v>106</v>
      </c>
      <c r="D28" s="142"/>
      <c r="E28" s="142"/>
      <c r="F28" s="142"/>
      <c r="G28" s="143"/>
      <c r="H28" s="94">
        <v>8.1000000000000003E-2</v>
      </c>
      <c r="I28" s="95" t="s">
        <v>96</v>
      </c>
      <c r="J28" s="144" t="str">
        <f>IFERROR(IF(SUM(J21:J27,J18:J19)&gt;=10000000,SUM(J21:J27,J18:J19)*H28%,"-"),"-")</f>
        <v>-</v>
      </c>
      <c r="K28" s="145"/>
      <c r="L28" s="145"/>
      <c r="M28" s="146"/>
      <c r="N28" s="149" t="s">
        <v>107</v>
      </c>
      <c r="O28" s="150"/>
    </row>
    <row r="29" spans="1:17" ht="28.5" customHeight="1" x14ac:dyDescent="0.3">
      <c r="A29" s="96"/>
      <c r="B29" s="97"/>
      <c r="C29" s="121" t="s">
        <v>108</v>
      </c>
      <c r="D29" s="122"/>
      <c r="E29" s="122"/>
      <c r="F29" s="122"/>
      <c r="G29" s="123"/>
      <c r="H29" s="98">
        <v>1</v>
      </c>
      <c r="I29" s="99" t="s">
        <v>109</v>
      </c>
      <c r="J29" s="124">
        <f>34*0</f>
        <v>0</v>
      </c>
      <c r="K29" s="125"/>
      <c r="L29" s="125"/>
      <c r="M29" s="126"/>
      <c r="N29" s="127" t="s">
        <v>110</v>
      </c>
      <c r="O29" s="128"/>
    </row>
    <row r="30" spans="1:17" ht="28.5" customHeight="1" x14ac:dyDescent="0.3">
      <c r="A30" s="96">
        <v>4</v>
      </c>
      <c r="B30" s="97"/>
      <c r="C30" s="121" t="s">
        <v>111</v>
      </c>
      <c r="D30" s="122"/>
      <c r="E30" s="122"/>
      <c r="F30" s="122"/>
      <c r="G30" s="123"/>
      <c r="H30" s="99">
        <v>5</v>
      </c>
      <c r="I30" s="100" t="s">
        <v>112</v>
      </c>
      <c r="J30" s="134">
        <f>IFERROR(IF(ISNUMBER(H30), SUM(J18:M20) * (H30 / 100), "-"), "-")</f>
        <v>65272.577617353949</v>
      </c>
      <c r="K30" s="135"/>
      <c r="L30" s="135"/>
      <c r="M30" s="136"/>
      <c r="N30" s="137" t="s">
        <v>113</v>
      </c>
      <c r="O30" s="138"/>
    </row>
    <row r="31" spans="1:17" ht="28.5" customHeight="1" thickBot="1" x14ac:dyDescent="0.35">
      <c r="A31" s="96">
        <v>5</v>
      </c>
      <c r="B31" s="97"/>
      <c r="C31" s="121" t="s">
        <v>114</v>
      </c>
      <c r="D31" s="122"/>
      <c r="E31" s="122"/>
      <c r="F31" s="122"/>
      <c r="G31" s="123"/>
      <c r="H31" s="99">
        <v>7.5</v>
      </c>
      <c r="I31" s="100" t="s">
        <v>96</v>
      </c>
      <c r="J31" s="124">
        <f>IFERROR(SUM(J18:M20, J30) * (H31 / 100), "-")+-9378</f>
        <v>93426.30974733246</v>
      </c>
      <c r="K31" s="125"/>
      <c r="L31" s="125"/>
      <c r="M31" s="126"/>
      <c r="N31" s="139" t="s">
        <v>115</v>
      </c>
      <c r="O31" s="140"/>
      <c r="Q31" s="101"/>
    </row>
    <row r="32" spans="1:17" ht="28.5" customHeight="1" thickBot="1" x14ac:dyDescent="0.35">
      <c r="A32" s="129" t="s">
        <v>116</v>
      </c>
      <c r="B32" s="130"/>
      <c r="C32" s="130"/>
      <c r="D32" s="130"/>
      <c r="E32" s="130"/>
      <c r="F32" s="130"/>
      <c r="G32" s="130"/>
      <c r="H32" s="130"/>
      <c r="I32" s="131"/>
      <c r="J32" s="102"/>
      <c r="K32" s="103"/>
      <c r="L32" s="103"/>
      <c r="M32" s="104">
        <f>IFERROR(ROUNDDOWN(SUM(J18:M20)+J30+J31,0),"-")</f>
        <v>1464150</v>
      </c>
      <c r="N32" s="132"/>
      <c r="O32" s="133"/>
      <c r="P32" s="105"/>
    </row>
    <row r="33" spans="1:15" x14ac:dyDescent="0.3">
      <c r="A33" s="106" t="s">
        <v>117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 x14ac:dyDescent="0.3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 x14ac:dyDescent="0.3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 x14ac:dyDescent="0.3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 x14ac:dyDescent="0.3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 x14ac:dyDescent="0.3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 x14ac:dyDescent="0.3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 x14ac:dyDescent="0.35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 x14ac:dyDescent="0.3">
      <c r="M42" s="101"/>
    </row>
    <row r="43" spans="1:15" x14ac:dyDescent="0.3">
      <c r="M43" s="10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7"/>
  <sheetViews>
    <sheetView showGridLines="0" zoomScale="85" zoomScaleNormal="85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21.25" style="44" bestFit="1" customWidth="1"/>
    <col min="2" max="5" width="17.75" style="35" hidden="1" customWidth="1"/>
    <col min="6" max="7" width="30.625" style="29" customWidth="1"/>
    <col min="8" max="8" width="11.375" style="35" bestFit="1" customWidth="1"/>
    <col min="9" max="9" width="7" style="35" bestFit="1" customWidth="1"/>
    <col min="10" max="10" width="10.875" style="35" bestFit="1" customWidth="1"/>
    <col min="11" max="11" width="13.5" style="35" bestFit="1" customWidth="1"/>
    <col min="12" max="12" width="9.25" style="35" bestFit="1" customWidth="1"/>
    <col min="13" max="13" width="13.5" style="35" bestFit="1" customWidth="1"/>
    <col min="14" max="14" width="6.125" style="35" customWidth="1"/>
    <col min="15" max="15" width="8.25" style="35" bestFit="1" customWidth="1"/>
    <col min="16" max="16" width="6.125" style="35" customWidth="1"/>
    <col min="17" max="17" width="8.25" style="35" bestFit="1" customWidth="1"/>
    <col min="18" max="18" width="16" style="35" bestFit="1" customWidth="1"/>
    <col min="19" max="19" width="10.75" style="2" bestFit="1" customWidth="1"/>
    <col min="20" max="20" width="9.125" style="35" bestFit="1" customWidth="1"/>
    <col min="21" max="16384" width="9" style="35"/>
  </cols>
  <sheetData>
    <row r="1" spans="1:20" ht="19.899999999999999" customHeight="1" x14ac:dyDescent="0.3">
      <c r="A1" s="226"/>
      <c r="B1" s="226"/>
      <c r="C1" s="226"/>
      <c r="D1" s="226"/>
      <c r="E1" s="226"/>
      <c r="J1" s="2"/>
      <c r="K1" s="34" t="s">
        <v>14</v>
      </c>
      <c r="M1" s="34" t="s">
        <v>14</v>
      </c>
      <c r="O1" s="34" t="s">
        <v>14</v>
      </c>
      <c r="Q1" s="34" t="s">
        <v>14</v>
      </c>
    </row>
    <row r="2" spans="1:20" ht="19.899999999999999" customHeight="1" thickBot="1" x14ac:dyDescent="0.35">
      <c r="A2" s="226"/>
      <c r="B2" s="226"/>
      <c r="C2" s="226"/>
      <c r="D2" s="226"/>
      <c r="E2" s="22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 x14ac:dyDescent="0.3">
      <c r="A3" s="36"/>
      <c r="B3" s="36" t="s">
        <v>15</v>
      </c>
      <c r="C3" s="37"/>
      <c r="D3" s="37"/>
      <c r="E3" s="37"/>
      <c r="F3" s="237" t="s">
        <v>16</v>
      </c>
      <c r="G3" s="237"/>
      <c r="H3" s="235" t="s">
        <v>17</v>
      </c>
      <c r="I3" s="235" t="s">
        <v>5</v>
      </c>
      <c r="J3" s="231" t="s">
        <v>18</v>
      </c>
      <c r="K3" s="231"/>
      <c r="L3" s="231" t="s">
        <v>19</v>
      </c>
      <c r="M3" s="231"/>
      <c r="N3" s="232" t="s">
        <v>20</v>
      </c>
      <c r="O3" s="232"/>
      <c r="P3" s="232" t="s">
        <v>21</v>
      </c>
      <c r="Q3" s="232"/>
      <c r="R3" s="233" t="s">
        <v>22</v>
      </c>
      <c r="S3" s="229" t="s">
        <v>23</v>
      </c>
      <c r="T3" s="227" t="s">
        <v>7</v>
      </c>
    </row>
    <row r="4" spans="1:20" ht="19.899999999999999" customHeight="1" x14ac:dyDescent="0.3">
      <c r="A4" s="5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30" t="s">
        <v>29</v>
      </c>
      <c r="G4" s="30" t="s">
        <v>30</v>
      </c>
      <c r="H4" s="236"/>
      <c r="I4" s="236"/>
      <c r="J4" s="7" t="s">
        <v>31</v>
      </c>
      <c r="K4" s="8" t="s">
        <v>32</v>
      </c>
      <c r="L4" s="7" t="s">
        <v>33</v>
      </c>
      <c r="M4" s="8" t="s">
        <v>32</v>
      </c>
      <c r="N4" s="8" t="s">
        <v>34</v>
      </c>
      <c r="O4" s="8" t="s">
        <v>32</v>
      </c>
      <c r="P4" s="8" t="s">
        <v>34</v>
      </c>
      <c r="Q4" s="8" t="s">
        <v>32</v>
      </c>
      <c r="R4" s="234"/>
      <c r="S4" s="230"/>
      <c r="T4" s="228"/>
    </row>
    <row r="5" spans="1:20" s="38" customFormat="1" ht="38.1" customHeight="1" x14ac:dyDescent="0.3">
      <c r="A5" s="9" t="str">
        <f t="shared" ref="A5" si="0">B5&amp;C5&amp;D5&amp;E5</f>
        <v>L002</v>
      </c>
      <c r="B5" s="10"/>
      <c r="C5" s="21"/>
      <c r="D5" s="6"/>
      <c r="E5" s="10" t="s">
        <v>46</v>
      </c>
      <c r="F5" s="31" t="s">
        <v>53</v>
      </c>
      <c r="G5" s="31" t="s">
        <v>47</v>
      </c>
      <c r="H5" s="22" t="s">
        <v>8</v>
      </c>
      <c r="I5" s="28">
        <v>0.5</v>
      </c>
      <c r="J5" s="24"/>
      <c r="K5" s="25">
        <f t="shared" ref="K5" si="1">SUM(J5:J5)*I5*$K$2</f>
        <v>0</v>
      </c>
      <c r="L5" s="46">
        <v>171037</v>
      </c>
      <c r="M5" s="11">
        <f>I5*L5</f>
        <v>85518.5</v>
      </c>
      <c r="N5" s="26"/>
      <c r="O5" s="25">
        <f t="shared" ref="O5" si="2">N5*I5*$O$2</f>
        <v>0</v>
      </c>
      <c r="P5" s="26"/>
      <c r="Q5" s="25">
        <f t="shared" ref="Q5" si="3">P5*I5*$Q$2</f>
        <v>0</v>
      </c>
      <c r="R5" s="12">
        <f t="shared" ref="R5" si="4">SUM(K5+M5)+O5+Q5</f>
        <v>85518.5</v>
      </c>
      <c r="S5" s="18"/>
      <c r="T5" s="19"/>
    </row>
    <row r="6" spans="1:20" s="38" customFormat="1" ht="38.1" customHeight="1" x14ac:dyDescent="0.3">
      <c r="A6" s="9" t="str">
        <f t="shared" ref="A6:A12" si="5">B6&amp;C6&amp;D6&amp;E6</f>
        <v>E00000803073010104</v>
      </c>
      <c r="B6" s="10"/>
      <c r="C6" s="21" t="s">
        <v>48</v>
      </c>
      <c r="D6" s="6"/>
      <c r="E6" s="6"/>
      <c r="F6" s="31" t="s">
        <v>36</v>
      </c>
      <c r="G6" s="31" t="s">
        <v>37</v>
      </c>
      <c r="H6" s="22" t="s">
        <v>38</v>
      </c>
      <c r="I6" s="28">
        <v>4</v>
      </c>
      <c r="J6" s="24"/>
      <c r="K6" s="25">
        <f t="shared" ref="K6:K12" si="6">SUM(J6:J6)*I6*$K$2</f>
        <v>0</v>
      </c>
      <c r="L6" s="47">
        <v>11955</v>
      </c>
      <c r="M6" s="25">
        <f t="shared" ref="M6:M9" si="7">(L6*I6)*$M$2</f>
        <v>39929.699999999997</v>
      </c>
      <c r="N6" s="26"/>
      <c r="O6" s="25">
        <f t="shared" ref="O6:O11" si="8">N6*I6*$O$2</f>
        <v>0</v>
      </c>
      <c r="P6" s="26"/>
      <c r="Q6" s="25">
        <f t="shared" ref="Q6:Q11" si="9">P6*I6*$Q$2</f>
        <v>0</v>
      </c>
      <c r="R6" s="12">
        <f t="shared" ref="R6:R11" si="10">SUM(K6+M6)+O6+Q6</f>
        <v>39929.699999999997</v>
      </c>
      <c r="S6" s="18"/>
      <c r="T6" s="19"/>
    </row>
    <row r="7" spans="1:20" s="38" customFormat="1" ht="38.1" customHeight="1" x14ac:dyDescent="0.3">
      <c r="A7" s="9" t="str">
        <f t="shared" si="5"/>
        <v>E00000803073021001</v>
      </c>
      <c r="B7" s="10"/>
      <c r="C7" s="21" t="s">
        <v>49</v>
      </c>
      <c r="D7" s="6"/>
      <c r="E7" s="6"/>
      <c r="F7" s="31" t="s">
        <v>39</v>
      </c>
      <c r="G7" s="31" t="s">
        <v>40</v>
      </c>
      <c r="H7" s="22" t="s">
        <v>38</v>
      </c>
      <c r="I7" s="28">
        <v>4</v>
      </c>
      <c r="J7" s="49">
        <v>1037</v>
      </c>
      <c r="K7" s="25">
        <f t="shared" si="6"/>
        <v>3463.58</v>
      </c>
      <c r="L7" s="49">
        <v>34592</v>
      </c>
      <c r="M7" s="25">
        <f t="shared" si="7"/>
        <v>115537.28</v>
      </c>
      <c r="N7" s="26"/>
      <c r="O7" s="25">
        <f t="shared" si="8"/>
        <v>0</v>
      </c>
      <c r="P7" s="26"/>
      <c r="Q7" s="25">
        <f t="shared" si="9"/>
        <v>0</v>
      </c>
      <c r="R7" s="12">
        <f t="shared" si="10"/>
        <v>119000.86</v>
      </c>
      <c r="S7" s="18"/>
      <c r="T7" s="19"/>
    </row>
    <row r="8" spans="1:20" s="38" customFormat="1" ht="38.1" customHeight="1" x14ac:dyDescent="0.3">
      <c r="A8" s="9" t="str">
        <f t="shared" si="5"/>
        <v>E00000803073030101</v>
      </c>
      <c r="B8" s="10"/>
      <c r="C8" s="21" t="s">
        <v>50</v>
      </c>
      <c r="D8" s="6"/>
      <c r="E8" s="6"/>
      <c r="F8" s="31" t="s">
        <v>41</v>
      </c>
      <c r="G8" s="31"/>
      <c r="H8" s="22" t="s">
        <v>42</v>
      </c>
      <c r="I8" s="28">
        <v>15</v>
      </c>
      <c r="J8" s="24"/>
      <c r="K8" s="25">
        <f t="shared" si="6"/>
        <v>0</v>
      </c>
      <c r="L8" s="49">
        <v>5214</v>
      </c>
      <c r="M8" s="25">
        <f t="shared" si="7"/>
        <v>65305.35</v>
      </c>
      <c r="N8" s="26"/>
      <c r="O8" s="25">
        <f t="shared" si="8"/>
        <v>0</v>
      </c>
      <c r="P8" s="26"/>
      <c r="Q8" s="25">
        <f t="shared" si="9"/>
        <v>0</v>
      </c>
      <c r="R8" s="12">
        <f t="shared" si="10"/>
        <v>65305.35</v>
      </c>
      <c r="S8" s="18"/>
      <c r="T8" s="19"/>
    </row>
    <row r="9" spans="1:20" s="38" customFormat="1" ht="38.1" customHeight="1" x14ac:dyDescent="0.3">
      <c r="A9" s="9" t="str">
        <f t="shared" si="5"/>
        <v>M020251411760101</v>
      </c>
      <c r="B9" s="10"/>
      <c r="C9" s="6"/>
      <c r="D9" s="21" t="s">
        <v>51</v>
      </c>
      <c r="E9" s="6"/>
      <c r="F9" s="31" t="s">
        <v>12</v>
      </c>
      <c r="G9" s="31" t="s">
        <v>13</v>
      </c>
      <c r="H9" s="22" t="s">
        <v>43</v>
      </c>
      <c r="I9" s="28">
        <v>8</v>
      </c>
      <c r="J9" s="48">
        <v>5000</v>
      </c>
      <c r="K9" s="25">
        <f t="shared" si="6"/>
        <v>33400</v>
      </c>
      <c r="L9" s="27"/>
      <c r="M9" s="25">
        <f t="shared" si="7"/>
        <v>0</v>
      </c>
      <c r="N9" s="26"/>
      <c r="O9" s="25">
        <f t="shared" si="8"/>
        <v>0</v>
      </c>
      <c r="P9" s="26"/>
      <c r="Q9" s="25">
        <f t="shared" si="9"/>
        <v>0</v>
      </c>
      <c r="R9" s="12">
        <f t="shared" si="10"/>
        <v>33400</v>
      </c>
      <c r="S9" s="18"/>
      <c r="T9" s="19"/>
    </row>
    <row r="10" spans="1:20" s="38" customFormat="1" ht="38.1" customHeight="1" x14ac:dyDescent="0.3">
      <c r="A10" s="9" t="str">
        <f t="shared" ref="A10" si="11">B10&amp;C10&amp;D10&amp;E10</f>
        <v>M060302210060101</v>
      </c>
      <c r="B10" s="10"/>
      <c r="C10" s="6"/>
      <c r="D10" s="21" t="s">
        <v>52</v>
      </c>
      <c r="E10" s="6"/>
      <c r="F10" s="31" t="s">
        <v>44</v>
      </c>
      <c r="G10" s="31" t="s">
        <v>45</v>
      </c>
      <c r="H10" s="22" t="s">
        <v>35</v>
      </c>
      <c r="I10" s="28">
        <v>1</v>
      </c>
      <c r="J10" s="48">
        <v>146400</v>
      </c>
      <c r="K10" s="25">
        <f t="shared" ref="K10" si="12">SUM(J10:J10)*I10*$K$2</f>
        <v>122244</v>
      </c>
      <c r="L10" s="27"/>
      <c r="M10" s="25">
        <f t="shared" ref="M10" si="13">(L10*I10)*$M$2</f>
        <v>0</v>
      </c>
      <c r="N10" s="26"/>
      <c r="O10" s="25">
        <f t="shared" ref="O10" si="14">N10*I10*$O$2</f>
        <v>0</v>
      </c>
      <c r="P10" s="26"/>
      <c r="Q10" s="25">
        <f t="shared" ref="Q10" si="15">P10*I10*$Q$2</f>
        <v>0</v>
      </c>
      <c r="R10" s="12">
        <f t="shared" ref="R10" si="16">SUM(K10+M10)+O10+Q10</f>
        <v>122244</v>
      </c>
      <c r="S10" s="18"/>
      <c r="T10" s="19"/>
    </row>
    <row r="11" spans="1:20" s="38" customFormat="1" ht="38.1" customHeight="1" x14ac:dyDescent="0.3">
      <c r="A11" s="9" t="str">
        <f t="shared" si="5"/>
        <v>L003</v>
      </c>
      <c r="B11" s="10"/>
      <c r="C11" s="6"/>
      <c r="D11" s="6"/>
      <c r="E11" s="10" t="s">
        <v>10</v>
      </c>
      <c r="F11" s="32" t="s">
        <v>11</v>
      </c>
      <c r="G11" s="32" t="s">
        <v>9</v>
      </c>
      <c r="H11" s="22" t="s">
        <v>8</v>
      </c>
      <c r="I11" s="28">
        <v>2</v>
      </c>
      <c r="J11" s="13"/>
      <c r="K11" s="11">
        <f t="shared" si="6"/>
        <v>0</v>
      </c>
      <c r="L11" s="46">
        <v>224490</v>
      </c>
      <c r="M11" s="11">
        <f>I11*L11</f>
        <v>448980</v>
      </c>
      <c r="N11" s="12"/>
      <c r="O11" s="11">
        <f t="shared" si="8"/>
        <v>0</v>
      </c>
      <c r="P11" s="12"/>
      <c r="Q11" s="11">
        <f t="shared" si="9"/>
        <v>0</v>
      </c>
      <c r="R11" s="12">
        <f t="shared" si="10"/>
        <v>448980</v>
      </c>
      <c r="S11" s="18"/>
      <c r="T11" s="19"/>
    </row>
    <row r="12" spans="1:20" s="38" customFormat="1" ht="38.1" customHeight="1" x14ac:dyDescent="0.3">
      <c r="A12" s="9" t="str">
        <f t="shared" si="5"/>
        <v>L003</v>
      </c>
      <c r="B12" s="10"/>
      <c r="C12" s="6"/>
      <c r="D12" s="6"/>
      <c r="E12" s="10" t="s">
        <v>10</v>
      </c>
      <c r="F12" s="32" t="s">
        <v>11</v>
      </c>
      <c r="G12" s="32" t="s">
        <v>9</v>
      </c>
      <c r="H12" s="22" t="s">
        <v>8</v>
      </c>
      <c r="I12" s="28">
        <v>1</v>
      </c>
      <c r="J12" s="13"/>
      <c r="K12" s="11">
        <f t="shared" si="6"/>
        <v>0</v>
      </c>
      <c r="L12" s="46">
        <v>224490</v>
      </c>
      <c r="M12" s="11">
        <f>I12*L12</f>
        <v>224490</v>
      </c>
      <c r="N12" s="12"/>
      <c r="O12" s="11">
        <f t="shared" ref="O12" si="17">N12*I12*$O$2</f>
        <v>0</v>
      </c>
      <c r="P12" s="12"/>
      <c r="Q12" s="11">
        <f t="shared" ref="Q12" si="18">P12*I12*$Q$2</f>
        <v>0</v>
      </c>
      <c r="R12" s="12">
        <f t="shared" ref="R12" si="19">SUM(K12+M12)+O12+Q12</f>
        <v>224490</v>
      </c>
      <c r="S12" s="18"/>
      <c r="T12" s="19"/>
    </row>
    <row r="13" spans="1:20" s="40" customFormat="1" ht="38.1" customHeight="1" x14ac:dyDescent="0.3">
      <c r="A13" s="39"/>
      <c r="F13" s="33"/>
      <c r="G13" s="33"/>
      <c r="K13" s="41">
        <f>SUM(K5:K12)</f>
        <v>159107.58000000002</v>
      </c>
      <c r="L13" s="42"/>
      <c r="M13" s="41">
        <f>SUM(M5:M12)</f>
        <v>979760.83</v>
      </c>
      <c r="N13" s="42"/>
      <c r="O13" s="41">
        <f>SUM(O5:O12)</f>
        <v>0</v>
      </c>
      <c r="P13" s="42"/>
      <c r="Q13" s="41">
        <f>SUM(Q5:Q12)</f>
        <v>0</v>
      </c>
      <c r="R13" s="43">
        <f>SUM(R5:R12)</f>
        <v>1138868.4099999999</v>
      </c>
      <c r="S13" s="14"/>
    </row>
    <row r="14" spans="1:20" ht="38.1" customHeight="1" x14ac:dyDescent="0.3">
      <c r="R14" s="43"/>
    </row>
    <row r="17" spans="13:13" ht="38.1" customHeight="1" x14ac:dyDescent="0.3">
      <c r="M17" s="4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3"/>
  </cols>
  <sheetData>
    <row r="1" spans="1:6" ht="18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3">
      <c r="A2" s="16" t="str">
        <f>'내역서(표준단가)'!A5</f>
        <v>L002</v>
      </c>
      <c r="B2" s="17">
        <f>'내역서(표준단가)'!B5</f>
        <v>0</v>
      </c>
      <c r="C2" s="17">
        <f>'내역서(표준단가)'!C5</f>
        <v>0</v>
      </c>
      <c r="D2" s="17">
        <f>'내역서(표준단가)'!D5</f>
        <v>0</v>
      </c>
      <c r="E2" s="17" t="str">
        <f>'내역서(표준단가)'!E5</f>
        <v>L002</v>
      </c>
      <c r="F2" s="20">
        <f>'내역서(표준단가)'!I5</f>
        <v>0.5</v>
      </c>
    </row>
    <row r="3" spans="1:6" x14ac:dyDescent="0.3">
      <c r="A3" s="16" t="str">
        <f>'내역서(표준단가)'!A6</f>
        <v>E00000803073010104</v>
      </c>
      <c r="B3" s="17">
        <f>'내역서(표준단가)'!B6</f>
        <v>0</v>
      </c>
      <c r="C3" s="17" t="str">
        <f>'내역서(표준단가)'!C6</f>
        <v>E00000803073010104</v>
      </c>
      <c r="D3" s="17">
        <f>'내역서(표준단가)'!D6</f>
        <v>0</v>
      </c>
      <c r="E3" s="17">
        <f>'내역서(표준단가)'!E6</f>
        <v>0</v>
      </c>
      <c r="F3" s="20">
        <f>'내역서(표준단가)'!I6</f>
        <v>4</v>
      </c>
    </row>
    <row r="4" spans="1:6" x14ac:dyDescent="0.3">
      <c r="A4" s="16" t="str">
        <f>'내역서(표준단가)'!A7</f>
        <v>E00000803073021001</v>
      </c>
      <c r="B4" s="17">
        <f>'내역서(표준단가)'!B7</f>
        <v>0</v>
      </c>
      <c r="C4" s="17" t="str">
        <f>'내역서(표준단가)'!C7</f>
        <v>E00000803073021001</v>
      </c>
      <c r="D4" s="17">
        <f>'내역서(표준단가)'!D7</f>
        <v>0</v>
      </c>
      <c r="E4" s="17">
        <f>'내역서(표준단가)'!E7</f>
        <v>0</v>
      </c>
      <c r="F4" s="20">
        <f>'내역서(표준단가)'!I7</f>
        <v>4</v>
      </c>
    </row>
    <row r="5" spans="1:6" x14ac:dyDescent="0.3">
      <c r="A5" s="16" t="str">
        <f>'내역서(표준단가)'!A8</f>
        <v>E00000803073030101</v>
      </c>
      <c r="B5" s="17">
        <f>'내역서(표준단가)'!B8</f>
        <v>0</v>
      </c>
      <c r="C5" s="17" t="str">
        <f>'내역서(표준단가)'!C8</f>
        <v>E00000803073030101</v>
      </c>
      <c r="D5" s="17">
        <f>'내역서(표준단가)'!D8</f>
        <v>0</v>
      </c>
      <c r="E5" s="17">
        <f>'내역서(표준단가)'!E8</f>
        <v>0</v>
      </c>
      <c r="F5" s="20">
        <f>'내역서(표준단가)'!I8</f>
        <v>15</v>
      </c>
    </row>
    <row r="6" spans="1:6" x14ac:dyDescent="0.3">
      <c r="A6" s="16" t="str">
        <f>'내역서(표준단가)'!A9</f>
        <v>M020251411760101</v>
      </c>
      <c r="B6" s="17">
        <f>'내역서(표준단가)'!B9</f>
        <v>0</v>
      </c>
      <c r="C6" s="17">
        <f>'내역서(표준단가)'!C9</f>
        <v>0</v>
      </c>
      <c r="D6" s="17" t="str">
        <f>'내역서(표준단가)'!D9</f>
        <v>M020251411760101</v>
      </c>
      <c r="E6" s="17">
        <f>'내역서(표준단가)'!E9</f>
        <v>0</v>
      </c>
      <c r="F6" s="20">
        <f>'내역서(표준단가)'!I9</f>
        <v>8</v>
      </c>
    </row>
    <row r="7" spans="1:6" x14ac:dyDescent="0.3">
      <c r="A7" s="16" t="str">
        <f>'내역서(표준단가)'!A10</f>
        <v>M060302210060101</v>
      </c>
      <c r="B7" s="17">
        <f>'내역서(표준단가)'!B10</f>
        <v>0</v>
      </c>
      <c r="C7" s="17">
        <f>'내역서(표준단가)'!C10</f>
        <v>0</v>
      </c>
      <c r="D7" s="17" t="str">
        <f>'내역서(표준단가)'!D10</f>
        <v>M060302210060101</v>
      </c>
      <c r="E7" s="17">
        <f>'내역서(표준단가)'!E10</f>
        <v>0</v>
      </c>
      <c r="F7" s="20">
        <f>'내역서(표준단가)'!I10</f>
        <v>1</v>
      </c>
    </row>
    <row r="8" spans="1:6" x14ac:dyDescent="0.3">
      <c r="A8" s="16" t="str">
        <f>'내역서(표준단가)'!A11</f>
        <v>L003</v>
      </c>
      <c r="B8" s="17">
        <f>'내역서(표준단가)'!B11</f>
        <v>0</v>
      </c>
      <c r="C8" s="17">
        <f>'내역서(표준단가)'!C11</f>
        <v>0</v>
      </c>
      <c r="D8" s="17">
        <f>'내역서(표준단가)'!D11</f>
        <v>0</v>
      </c>
      <c r="E8" s="17" t="str">
        <f>'내역서(표준단가)'!E11</f>
        <v>L003</v>
      </c>
      <c r="F8" s="20">
        <f>'내역서(표준단가)'!I11</f>
        <v>2</v>
      </c>
    </row>
    <row r="9" spans="1:6" x14ac:dyDescent="0.3">
      <c r="A9" s="16" t="str">
        <f>'내역서(표준단가)'!A12</f>
        <v>L003</v>
      </c>
      <c r="B9" s="17">
        <f>'내역서(표준단가)'!B12</f>
        <v>0</v>
      </c>
      <c r="C9" s="17">
        <f>'내역서(표준단가)'!C12</f>
        <v>0</v>
      </c>
      <c r="D9" s="17">
        <f>'내역서(표준단가)'!D12</f>
        <v>0</v>
      </c>
      <c r="E9" s="17" t="str">
        <f>'내역서(표준단가)'!E12</f>
        <v>L003</v>
      </c>
      <c r="F9" s="20">
        <f>'내역서(표준단가)'!I12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2026-01-20T04:06:55Z</dcterms:created>
  <dcterms:modified xsi:type="dcterms:W3CDTF">2026-06-01T05:50:28Z</dcterms:modified>
</cp:coreProperties>
</file>
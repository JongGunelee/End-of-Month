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C82E7A65-BBA6-4A2C-B8CC-42C66FAC8CF8}" xr6:coauthVersionLast="36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<sst xmlns="http://schemas.openxmlformats.org/spreadsheetml/2006/main" count="240" uniqueCount="172">
  <si>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</si>
  <si>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</si>
  <si>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</si>
  <si>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</si>
  <si>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</si>
  <si>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</si>
  <si>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</si>
  <si>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</si>
  <si>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</si>
  <si>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</si>
  <si>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</si>
  <si>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</si>
  <si>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</si>
  <si>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</si>
  <si>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</si>
  <si>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</si>
  <si>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</si>
  <si>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</si>
  <si>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</si>
  <si>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</si>
  <si>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</si>
  <si>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</si>
  <si>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</si>
  <si>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</si>
  <si>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</si>
  <si>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</si>
  <si>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</si>
  <si>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</si>
  <si>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</si>
  <si>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</si>
  <si>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</si>
  <si>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</si>
  <si>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</si>
  <si>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</si>
  <si>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</si>
  <si>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</si>
  <si>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</si>
  <si>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</si>
  <si>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</si>
  <si>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</si>
  <si>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</si>
  <si>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</si>
  <si>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</si>
  <si>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</si>
  <si>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</si>
  <si>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</si>
  <si>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</si>
  <si>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</si>
  <si>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</si>
  <si>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</si>
  <si>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</si>
  <si>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</si>
  <si>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</si>
  <si>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</si>
  <si>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</si>
  <si>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</si>
  <si>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</si>
  <si>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</si>
  <si>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</si>
  <si>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</si>
  <si>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</si>
  <si>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</si>
  <si>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</si>
  <si>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</si>
  <si>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</si>
  <si>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</si>
  <si>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</si>
  <si>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</si>
  <si>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</si>
  <si>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</si>
  <si>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</si>
  <si>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</si>
  <si>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</si>
  <si>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</si>
  <si>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</si>
  <si>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</si>
  <si>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</si>
  <si>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</si>
  <si>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</si>
  <si>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</si>
  <si>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</si>
  <si>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</si>
  <si>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</si>
  <si>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</si>
  <si>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</si>
  <si>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</si>
  <si>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</si>
  <si>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</si>
  <si>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</si>
  <si>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</si>
  <si>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</si>
  <si>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</si>
  <si>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</si>
  <si>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</si>
  <si>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</si>
  <si>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</si>
  <si>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</si>
  <si>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</si>
  <si>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</si>
  <si>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</si>
  <si>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</si>
  <si>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</si>
  <si>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</si>
  <si>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</si>
  <si>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</si>
  <si>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</si>
  <si>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</si>
  <si>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</si>
  <si>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</si>
  <si>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</si>
  <si>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</si>
  <si>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</si>
  <si>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</si>
  <si>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</si>
  <si>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</si>
  <si>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</si>
  <si>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</si>
  <si>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</si>
  <si>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</si>
  <si>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</si>
  <si>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</si>
  <si>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</si>
  <si>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</si>
  <si>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</si>
  <si>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</si>
  <si>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</si>
  <si>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</si>
  <si>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</si>
  <si>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</si>
  <si>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</si>
  <si>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</si>
  <si>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</si>
  <si>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</si>
  <si>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</si>
  <si>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</si>
  <si>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</si>
  <si>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</si>
  <si>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</si>
  <si>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</si>
  <si>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</si>
  <si>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</si>
  <si>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</si>
  <si>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</si>
  <si>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</si>
  <si>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</si>
  <si>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</si>
  <si>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</si>
  <si>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</si>
  <si>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</si>
  <si>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</si>
  <si>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</si>
  <si>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</si>
  <si>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</si>
  <si>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</si>
  <si>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</si>
  <si>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</si>
  <si>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</si>
  <si>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</si>
  <si>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</si>
  <si>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</si>
  <si>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</si>
  <si>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</si>
  <si>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</si>
  <si>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</si>
  <si>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</si>
  <si>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</si>
  <si>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</si>
  <si>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</si>
  <si>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</si>
  <si>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06월  08일</t>
    <phoneticPr fontId="5" type="noConversion"/>
  </si>
  <si>
    <t xml:space="preserve"> 공사명 : 사택 8-504 수장공사</t>
    <phoneticPr fontId="11" type="noConversion"/>
  </si>
  <si>
    <t>사택 8-504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</si>
</sst>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20" fillId="0" borderId="32" xfId="13" applyNumberFormat="1" applyFont="1" applyBorder="1" applyAlignment="1">
      <alignment vertical="center"/>
    </xf>
    <xf numFmtId="0" fontId="20" fillId="0" borderId="36" xfId="13" applyNumberFormat="1" applyFont="1" applyBorder="1" applyAlignment="1">
      <alignment vertical="center"/>
    </xf>
    <xf numFmtId="0" fontId="20" fillId="10" borderId="36" xfId="13" applyNumberFormat="1" applyFont="1" applyFill="1" applyBorder="1" applyAlignment="1">
      <alignment vertical="center"/>
    </xf>
    <xf numFmtId="0" fontId="20" fillId="10" borderId="35" xfId="13" applyNumberFormat="1" applyFont="1" applyFill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3.5">
      <c r="A3" s="118"/>
      <c r="B3" s="118"/>
      <c r="C3" s="118"/>
      <c r="D3" s="118"/>
      <c r="E3" s="118"/>
      <c r="F3" s="118"/>
      <c r="G3" s="118"/>
      <c r="H3" s="118"/>
    </row>
    <row r="4" spans="1:9" ht="13.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76" t="s">
        <v>170</v>
      </c>
      <c r="B7" s="177"/>
      <c r="C7" s="178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169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4"/>
      <c r="B11" s="175"/>
      <c r="C11" s="175"/>
      <c r="D11" s="118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오백삼십칠만오천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897493.73800000001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3644177.5648479997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4541671.3028480001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167</v>
      </c>
      <c r="D21" s="168">
        <v>1</v>
      </c>
      <c r="E21" s="168" t="s">
        <v>24</v>
      </c>
      <c r="F21" s="169">
        <f>F17*4.75%</f>
        <v>173098.43433028</v>
      </c>
      <c r="G21" s="35" t="s">
        <v>25</v>
      </c>
    </row>
    <row r="22" spans="1:7" ht="33" customHeight="1">
      <c r="A22" s="29"/>
      <c r="B22" s="170" t="s">
        <v>26</v>
      </c>
      <c r="C22" s="167" t="s">
        <v>168</v>
      </c>
      <c r="D22" s="171">
        <v>1</v>
      </c>
      <c r="E22" s="171" t="s">
        <v>24</v>
      </c>
      <c r="F22" s="172">
        <f>F17*3.595%</f>
        <v>131008.18345628559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16965.559757588984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36806.193404964797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129732.72130858879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133070.96917344641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213242.98131395772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833925.04274511233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5375596.3455931125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5375000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79"/>
      <c r="B1" s="179"/>
      <c r="C1" s="179"/>
      <c r="D1" s="179"/>
      <c r="E1" s="179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79"/>
      <c r="B2" s="179"/>
      <c r="C2" s="179"/>
      <c r="D2" s="179"/>
      <c r="E2" s="179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0" t="s">
        <v>100</v>
      </c>
      <c r="G3" s="190"/>
      <c r="H3" s="188" t="s">
        <v>47</v>
      </c>
      <c r="I3" s="188" t="s">
        <v>5</v>
      </c>
      <c r="J3" s="184" t="s">
        <v>101</v>
      </c>
      <c r="K3" s="184"/>
      <c r="L3" s="184" t="s">
        <v>102</v>
      </c>
      <c r="M3" s="184"/>
      <c r="N3" s="185" t="s">
        <v>103</v>
      </c>
      <c r="O3" s="185"/>
      <c r="P3" s="185" t="s">
        <v>104</v>
      </c>
      <c r="Q3" s="185"/>
      <c r="R3" s="186" t="s">
        <v>105</v>
      </c>
      <c r="S3" s="182" t="s">
        <v>106</v>
      </c>
      <c r="T3" s="180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89"/>
      <c r="I4" s="189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7"/>
      <c r="S4" s="183"/>
      <c r="T4" s="181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151</v>
      </c>
      <c r="E5" s="94"/>
      <c r="F5" s="130" t="s">
        <v>152</v>
      </c>
      <c r="G5" s="130" t="s">
        <v>161</v>
      </c>
      <c r="H5" s="110" t="s">
        <v>160</v>
      </c>
      <c r="I5" s="129">
        <v>11.992000000000001</v>
      </c>
      <c r="J5" s="155">
        <v>20900</v>
      </c>
      <c r="K5" s="126">
        <f t="shared" ref="K5" si="1">SUM(J5:J5)*I5*$K$2</f>
        <v>209278.38800000001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209278.38800000001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163</v>
      </c>
      <c r="H7" s="71" t="s">
        <v>119</v>
      </c>
      <c r="I7" s="129">
        <v>1.7709999999999999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754863.54866999993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754863.54866999993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154</v>
      </c>
      <c r="E8" s="94"/>
      <c r="F8" s="130" t="s">
        <v>155</v>
      </c>
      <c r="G8" s="130" t="s">
        <v>156</v>
      </c>
      <c r="H8" s="110" t="s">
        <v>153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164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148</v>
      </c>
      <c r="E10" s="94"/>
      <c r="F10" s="133" t="s">
        <v>147</v>
      </c>
      <c r="G10" s="133" t="s">
        <v>142</v>
      </c>
      <c r="H10" s="122" t="s">
        <v>141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124</v>
      </c>
      <c r="D11" s="70"/>
      <c r="E11" s="94"/>
      <c r="F11" s="130" t="s">
        <v>125</v>
      </c>
      <c r="G11" s="130" t="s">
        <v>126</v>
      </c>
      <c r="H11" s="110" t="s">
        <v>139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128</v>
      </c>
      <c r="D12" s="70"/>
      <c r="E12" s="94"/>
      <c r="F12" s="130" t="s">
        <v>129</v>
      </c>
      <c r="G12" s="130" t="s">
        <v>130</v>
      </c>
      <c r="H12" s="110" t="s">
        <v>127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143</v>
      </c>
      <c r="E13" s="94"/>
      <c r="F13" s="133" t="s">
        <v>144</v>
      </c>
      <c r="G13" s="133" t="s">
        <v>145</v>
      </c>
      <c r="H13" s="122" t="s">
        <v>141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131</v>
      </c>
      <c r="D14" s="70"/>
      <c r="E14" s="94"/>
      <c r="F14" s="130" t="s">
        <v>132</v>
      </c>
      <c r="G14" s="130" t="s">
        <v>133</v>
      </c>
      <c r="H14" s="110" t="s">
        <v>127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134</v>
      </c>
      <c r="D15" s="70"/>
      <c r="E15" s="94"/>
      <c r="F15" s="130" t="s">
        <v>135</v>
      </c>
      <c r="G15" s="130" t="s">
        <v>130</v>
      </c>
      <c r="H15" s="110" t="s">
        <v>127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131</v>
      </c>
      <c r="D16" s="70"/>
      <c r="E16" s="94"/>
      <c r="F16" s="130" t="s">
        <v>136</v>
      </c>
      <c r="G16" s="130" t="s">
        <v>133</v>
      </c>
      <c r="H16" s="110" t="s">
        <v>127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137</v>
      </c>
      <c r="D17" s="70"/>
      <c r="E17" s="94"/>
      <c r="F17" s="130" t="s">
        <v>138</v>
      </c>
      <c r="G17" s="130" t="s">
        <v>130</v>
      </c>
      <c r="H17" s="110" t="s">
        <v>127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159</v>
      </c>
      <c r="D18" s="70"/>
      <c r="E18" s="94"/>
      <c r="F18" s="159" t="s">
        <v>165</v>
      </c>
      <c r="G18" s="71" t="s">
        <v>158</v>
      </c>
      <c r="H18" s="160" t="s">
        <v>166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897493.73800000001</v>
      </c>
      <c r="L19" s="144"/>
      <c r="M19" s="143">
        <f>SUM(M5:M18)</f>
        <v>3644177.5648479997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4541671.3028480001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D38" sqref="D38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93" t="s">
        <v>58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6" ht="15" customHeight="1">
      <c r="A2" s="194" t="s">
        <v>59</v>
      </c>
      <c r="B2" s="195" t="s">
        <v>60</v>
      </c>
      <c r="C2" s="196" t="s">
        <v>47</v>
      </c>
      <c r="D2" s="196" t="s">
        <v>61</v>
      </c>
      <c r="E2" s="198" t="s">
        <v>62</v>
      </c>
      <c r="F2" s="195"/>
      <c r="G2" s="195" t="s">
        <v>63</v>
      </c>
      <c r="H2" s="195"/>
      <c r="I2" s="199" t="s">
        <v>64</v>
      </c>
      <c r="J2" s="200"/>
      <c r="K2" s="199" t="s">
        <v>65</v>
      </c>
      <c r="L2" s="200"/>
      <c r="M2" s="198" t="s">
        <v>66</v>
      </c>
      <c r="N2" s="195"/>
      <c r="O2" s="201" t="s">
        <v>67</v>
      </c>
    </row>
    <row r="3" spans="1:16" ht="15" customHeight="1">
      <c r="A3" s="194"/>
      <c r="B3" s="195"/>
      <c r="C3" s="197"/>
      <c r="D3" s="197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2"/>
    </row>
    <row r="4" spans="1:16" ht="15" customHeight="1">
      <c r="A4" s="191" t="s">
        <v>171</v>
      </c>
      <c r="B4" s="192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08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04" t="s">
        <v>149</v>
      </c>
    </row>
    <row r="6" spans="1:16" ht="15" customHeight="1">
      <c r="A6" s="209"/>
      <c r="B6" s="78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205"/>
    </row>
    <row r="7" spans="1:16" ht="15" customHeight="1">
      <c r="A7" s="209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05"/>
      <c r="P7" s="108">
        <f>D6+D8+D10+D12</f>
        <v>62</v>
      </c>
    </row>
    <row r="8" spans="1:16" ht="15" customHeight="1">
      <c r="A8" s="209"/>
      <c r="B8" s="78" t="s">
        <v>76</v>
      </c>
      <c r="C8" s="79" t="s">
        <v>73</v>
      </c>
      <c r="D8" s="148">
        <v>16</v>
      </c>
      <c r="E8" s="161">
        <v>1057</v>
      </c>
      <c r="F8" s="80">
        <f t="shared" si="0"/>
        <v>16912</v>
      </c>
      <c r="G8" s="161">
        <v>12178</v>
      </c>
      <c r="H8" s="80">
        <f t="shared" si="1"/>
        <v>194848</v>
      </c>
      <c r="I8" s="80"/>
      <c r="J8" s="80"/>
      <c r="K8" s="80"/>
      <c r="L8" s="80"/>
      <c r="M8" s="80"/>
      <c r="N8" s="80">
        <f t="shared" si="2"/>
        <v>211760</v>
      </c>
      <c r="O8" s="205"/>
    </row>
    <row r="9" spans="1:16" ht="15" customHeight="1">
      <c r="A9" s="209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5"/>
    </row>
    <row r="10" spans="1:16" ht="15" customHeight="1">
      <c r="A10" s="209"/>
      <c r="B10" s="78" t="s">
        <v>78</v>
      </c>
      <c r="C10" s="79" t="s">
        <v>73</v>
      </c>
      <c r="D10" s="148">
        <v>11</v>
      </c>
      <c r="E10" s="161">
        <v>1057</v>
      </c>
      <c r="F10" s="80">
        <f t="shared" si="0"/>
        <v>11627</v>
      </c>
      <c r="G10" s="161">
        <v>12178</v>
      </c>
      <c r="H10" s="80">
        <f t="shared" si="1"/>
        <v>133958</v>
      </c>
      <c r="I10" s="80"/>
      <c r="J10" s="80"/>
      <c r="K10" s="80"/>
      <c r="L10" s="80"/>
      <c r="M10" s="80"/>
      <c r="N10" s="80">
        <f t="shared" si="2"/>
        <v>145585</v>
      </c>
      <c r="O10" s="205"/>
    </row>
    <row r="11" spans="1:16" ht="15" customHeight="1">
      <c r="A11" s="209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5"/>
    </row>
    <row r="12" spans="1:16" ht="15" customHeight="1">
      <c r="A12" s="209"/>
      <c r="B12" s="78" t="s">
        <v>80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205"/>
    </row>
    <row r="13" spans="1:16" ht="15" customHeight="1">
      <c r="A13" s="103" t="s">
        <v>81</v>
      </c>
      <c r="B13" s="104"/>
      <c r="C13" s="105"/>
      <c r="D13" s="149">
        <f>SUM(D5:D12)</f>
        <v>198</v>
      </c>
      <c r="E13" s="112"/>
      <c r="F13" s="106">
        <f>SUM(F5:F12)</f>
        <v>209286</v>
      </c>
      <c r="G13" s="106"/>
      <c r="H13" s="106">
        <f>SUM(H5:H12)</f>
        <v>2015212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2224498</v>
      </c>
      <c r="O13" s="106"/>
    </row>
    <row r="14" spans="1:16" ht="15" customHeight="1">
      <c r="A14" s="210" t="s">
        <v>150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5"/>
    </row>
    <row r="15" spans="1:16" ht="15" customHeight="1">
      <c r="A15" s="210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5"/>
    </row>
    <row r="16" spans="1:16" ht="15" customHeight="1">
      <c r="A16" s="210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5"/>
    </row>
    <row r="17" spans="1:15" ht="15" customHeight="1">
      <c r="A17" s="211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6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146</v>
      </c>
      <c r="B20" s="123" t="s">
        <v>142</v>
      </c>
      <c r="C20" s="123" t="s">
        <v>141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207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207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207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207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144</v>
      </c>
      <c r="B25" s="123" t="s">
        <v>145</v>
      </c>
      <c r="C25" s="123" t="s">
        <v>141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203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203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203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203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157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140</v>
      </c>
      <c r="B33" s="81"/>
      <c r="C33" s="82"/>
      <c r="D33" s="154"/>
      <c r="E33" s="91"/>
      <c r="F33" s="92">
        <f>F13+F18+F30+F32</f>
        <v>897501.6</v>
      </c>
      <c r="G33" s="92"/>
      <c r="H33" s="92">
        <f>H13+H18+H30+H32</f>
        <v>3644494.5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4541996.0999999996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11.992000000000001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1.7709999999999999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2026-06-07T22:43:12Z</dcterms:modified>
</cp:coreProperties>
</file>
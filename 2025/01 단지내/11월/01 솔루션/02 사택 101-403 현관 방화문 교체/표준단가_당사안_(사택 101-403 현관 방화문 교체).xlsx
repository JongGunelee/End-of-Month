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8\06 작업폴더\02 사택 101-403 현관 방화문 교체\"/>
    </mc:Choice>
  </mc:AlternateContent>
  <xr:revisionPtr revIDLastSave="0" documentId="13_ncr:1_{9A37DD8C-EE91-4E7E-B6BF-9BF48040654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<sst xmlns="http://schemas.openxmlformats.org/spreadsheetml/2006/main" count="130" uniqueCount="108">
  <si>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</si>
  <si>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</si>
  <si>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</si>
  <si>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</si>
  <si>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</si>
  <si>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</si>
  <si>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</si>
  <si>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</si>
  <si>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</si>
  <si>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</si>
  <si>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</si>
  <si>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</si>
  <si>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</si>
  <si>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</si>
  <si>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</si>
  <si>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</si>
  <si>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</si>
  <si>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</si>
  <si>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</si>
  <si>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</si>
  <si>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</si>
  <si>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</si>
  <si>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</si>
  <si>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</si>
  <si>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</si>
  <si>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</si>
  <si>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</si>
  <si>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</si>
  <si>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</si>
  <si>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</si>
  <si>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</si>
  <si>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</si>
  <si>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</si>
  <si>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</si>
  <si>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</si>
  <si>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</si>
  <si>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</si>
  <si>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</si>
  <si>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</si>
  <si>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</si>
  <si>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</si>
  <si>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</si>
  <si>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</si>
  <si>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</si>
  <si>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</si>
  <si>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</si>
  <si>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</si>
  <si>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</si>
  <si>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</si>
  <si>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</si>
  <si>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</si>
  <si>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</si>
  <si>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</si>
  <si>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</si>
  <si>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</si>
  <si>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</si>
  <si>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</si>
  <si>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</si>
  <si>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</si>
  <si>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</si>
  <si>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</si>
  <si>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</si>
  <si>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</si>
  <si>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</si>
  <si>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</si>
  <si>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</si>
  <si>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</si>
  <si>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</si>
  <si>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</si>
  <si>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</si>
  <si>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</si>
  <si>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</si>
  <si>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</si>
  <si>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</si>
  <si>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</si>
  <si>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</si>
  <si>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</si>
  <si>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</si>
  <si>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</si>
  <si>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</si>
  <si>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</si>
  <si>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</si>
  <si>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</si>
  <si>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</si>
  <si>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</si>
  <si>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</si>
  <si>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</si>
  <si>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</si>
  <si>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</si>
  <si>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</si>
  <si>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</si>
  <si>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</si>
  <si>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</si>
  <si>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</si>
  <si>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</si>
  <si>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</si>
  <si>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</si>
  <si>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</si>
  <si>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</si>
  <si>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</si>
  <si>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</si>
  <si>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</si>
  <si>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</si>
  <si>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</si>
  <si>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101-403 현관 방화문 교체</t>
    <phoneticPr fontId="12" type="noConversion"/>
  </si>
  <si>
    <t xml:space="preserve"> 견적일 : 2025년  06월  09일</t>
    <phoneticPr fontId="12" type="noConversion"/>
  </si>
  <si>
    <t>현장정리 및 내부 도배</t>
    <phoneticPr fontId="6" type="noConversion"/>
  </si>
  <si>
    <t>101-403 현관 방화문 철거 및 설치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</si>
</sst>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현관 방화문 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307729</xdr:colOff>
      <xdr:row>5</xdr:row>
      <xdr:rowOff>131885</xdr:rowOff>
    </xdr:from>
    <xdr:to>
      <xdr:col>3</xdr:col>
      <xdr:colOff>453576</xdr:colOff>
      <xdr:row>35</xdr:row>
      <xdr:rowOff>7327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A16370E-B828-4A1E-8DAE-7CBB8F7C5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29" y="974481"/>
          <a:ext cx="3501578" cy="4931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5" sqref="K15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4" t="s">
        <v>104</v>
      </c>
      <c r="B7" s="125"/>
      <c r="C7" s="126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4" t="s">
        <v>105</v>
      </c>
      <c r="B9" s="125"/>
      <c r="C9" s="126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2"/>
      <c r="B11" s="123"/>
      <c r="C11" s="123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이백삼만삼천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1710000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1929321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103</v>
      </c>
      <c r="D26" s="30">
        <v>1</v>
      </c>
      <c r="E26" s="30" t="s">
        <v>25</v>
      </c>
      <c r="F26" s="43">
        <f>(F16+F17)*3.11%</f>
        <v>60001.883099999999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15399.854030688752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104075.93464446376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2033396.9346444637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2033000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L12" sqref="L12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3.37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8" t="s">
        <v>82</v>
      </c>
      <c r="K3" s="138"/>
      <c r="L3" s="136" t="s">
        <v>51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7"/>
      <c r="M4" s="137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5"/>
      <c r="W4" s="131"/>
      <c r="X4" s="129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100</v>
      </c>
      <c r="J5" s="94" t="s">
        <v>106</v>
      </c>
      <c r="K5" s="95" t="s">
        <v>101</v>
      </c>
      <c r="L5" s="78" t="s">
        <v>102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107</v>
      </c>
      <c r="K6" s="95" t="s">
        <v>75</v>
      </c>
      <c r="L6" s="78" t="s">
        <v>76</v>
      </c>
      <c r="M6" s="105">
        <v>1</v>
      </c>
      <c r="N6" s="102">
        <v>1710000</v>
      </c>
      <c r="O6" s="103">
        <f>M6*N6</f>
        <v>1710000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1710000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1710000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1929321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0" zoomScale="130" zoomScaleNormal="130" zoomScaleSheetLayoutView="85" workbookViewId="0">
      <selection activeCell="F13" sqref="F13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C2" sqref="C2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107</v>
      </c>
      <c r="D2" s="67" t="s">
        <v>78</v>
      </c>
      <c r="E2" s="67" t="s">
        <v>79</v>
      </c>
      <c r="F2" s="87">
        <v>1</v>
      </c>
      <c r="G2" s="90">
        <v>420000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C27" sqref="C26:C27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120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2025-06-18T02:04:35Z</dcterms:modified>
</cp:coreProperties>
</file>
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6월\01 솔루션\06 사택 8-304 씽크대 처짐보수 및 문짝교체\"/>
    </mc:Choice>
  </mc:AlternateContent>
  <xr:revisionPtr revIDLastSave="0" documentId="13_ncr:1_{CA0890F3-AC4C-4605-A72A-09A0A25DA9DC}" xr6:coauthVersionLast="47" xr6:coauthVersionMax="47" xr10:uidLastSave="{00000000-0000-0000-0000-000000000000}"/>
  <bookViews>
    <workbookView xWindow="14355" yWindow="0" windowWidth="14490" windowHeight="15525" firstSheet="2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-rs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4" l="1"/>
  <c r="S6" i="4"/>
  <c r="Q6" i="4"/>
  <c r="O6" i="4"/>
  <c r="V6" i="4" s="1"/>
  <c r="Q5" i="4" l="1"/>
  <c r="F2" i="1" l="1"/>
  <c r="E2" i="1"/>
  <c r="D2" i="1"/>
  <c r="C2" i="1"/>
  <c r="B2" i="1"/>
  <c r="U5" i="4"/>
  <c r="S5" i="4"/>
  <c r="O5" i="4"/>
  <c r="A5" i="4"/>
  <c r="A2" i="1" s="1"/>
  <c r="U7" i="4"/>
  <c r="S7" i="4"/>
  <c r="Q7" i="4"/>
  <c r="O7" i="4"/>
  <c r="V7" i="4" l="1"/>
  <c r="V5" i="4"/>
  <c r="U8" i="4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<sst xmlns="http://schemas.openxmlformats.org/spreadsheetml/2006/main" count="137" uniqueCount="110">
  <si>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</si>
  <si>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</si>
  <si>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</si>
  <si>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</si>
  <si>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</si>
  <si>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</si>
  <si>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</si>
  <si>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</si>
  <si>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</si>
  <si>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</si>
  <si>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</si>
  <si>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</si>
  <si>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</si>
  <si>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</si>
  <si>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</si>
  <si>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</si>
  <si>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</si>
  <si>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</si>
  <si>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</si>
  <si>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</si>
  <si>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</si>
  <si>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</si>
  <si>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</si>
  <si>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</si>
  <si>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</si>
  <si>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</si>
  <si>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</si>
  <si>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</si>
  <si>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</si>
  <si>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</si>
  <si>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</si>
  <si>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</si>
  <si>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</si>
  <si>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</si>
  <si>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</si>
  <si>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</si>
  <si>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</si>
  <si>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</si>
  <si>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</si>
  <si>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</si>
  <si>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</si>
  <si>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</si>
  <si>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</si>
  <si>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</si>
  <si>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</si>
  <si>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</si>
  <si>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</si>
  <si>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</si>
  <si>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</si>
  <si>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</si>
  <si>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</si>
  <si>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</si>
  <si>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</si>
  <si>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</si>
  <si>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</si>
  <si>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</si>
  <si>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</si>
  <si>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</si>
  <si>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</si>
  <si>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</si>
  <si>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</si>
  <si>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</si>
  <si>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</si>
  <si>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</si>
  <si>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</si>
  <si>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</si>
  <si>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</si>
  <si>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</si>
  <si>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</si>
  <si>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</si>
  <si>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</si>
  <si>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</si>
  <si>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</si>
  <si>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</si>
  <si>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</si>
  <si>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</si>
  <si>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</si>
  <si>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</si>
  <si>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</si>
  <si>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</si>
  <si>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</si>
  <si>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</si>
  <si>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</si>
  <si>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</si>
  <si>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</si>
  <si>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</si>
  <si>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</si>
  <si>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</si>
  <si>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</si>
  <si>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</si>
  <si>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</si>
  <si>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</si>
  <si>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</si>
  <si>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</si>
  <si>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</si>
  <si>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</si>
  <si>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</si>
  <si>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</si>
  <si>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</si>
  <si>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</si>
  <si>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</si>
  <si>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</si>
  <si>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</si>
  <si>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</si>
  <si>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</si>
  <si>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</si>
  <si>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견적일 : 2025년  05월  28일</t>
    <phoneticPr fontId="12" type="noConversion"/>
  </si>
  <si>
    <t>8-304 씽크대 상부장 보수 및 재설치</t>
    <phoneticPr fontId="6" type="noConversion"/>
  </si>
  <si>
    <t>8동 씽크대 상부장 보수 및 재설치</t>
    <phoneticPr fontId="6" type="noConversion"/>
  </si>
  <si>
    <t xml:space="preserve"> 공사명 : 사택 8-304 씽크대 상하부장 문짝교체 및 상부장 보수 재설치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</si>
</sst>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0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13" fillId="0" borderId="4" xfId="6" applyFont="1" applyBorder="1" applyAlignment="1">
      <alignment vertical="center" wrapText="1"/>
    </xf>
    <xf numFmtId="0" fontId="13" fillId="0" borderId="5" xfId="6" applyFont="1" applyBorder="1" applyAlignment="1">
      <alignment vertical="center" wrapText="1"/>
    </xf>
    <xf numFmtId="0" fontId="13" fillId="0" borderId="6" xfId="6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107496</xdr:rowOff>
    </xdr:from>
    <xdr:to>
      <xdr:col>14</xdr:col>
      <xdr:colOff>1433285</xdr:colOff>
      <xdr:row>75</xdr:row>
      <xdr:rowOff>104776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278946"/>
          <a:ext cx="14634935" cy="1268458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및 상부장 철거후 재설치 보수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371476</xdr:colOff>
      <xdr:row>37</xdr:row>
      <xdr:rowOff>152401</xdr:rowOff>
    </xdr:from>
    <xdr:to>
      <xdr:col>4</xdr:col>
      <xdr:colOff>304800</xdr:colOff>
      <xdr:row>71</xdr:row>
      <xdr:rowOff>157912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7C82401-95C7-408D-B6DB-DD5016D37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6496051"/>
          <a:ext cx="4114799" cy="5834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0" zoomScale="85" zoomScaleNormal="85" workbookViewId="0">
      <selection activeCell="G16" sqref="G16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5" t="s">
        <v>109</v>
      </c>
      <c r="B7" s="126"/>
      <c r="C7" s="127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2" t="s">
        <v>106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일백오십오만팔천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'내역서(표준단가)'!O8</f>
        <v>1250000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'내역서(표준단가)'!Q8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1469321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45695.883099999999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14684.554030688751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89054.63464446376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1558375.6346444637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1558000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Normal="100" workbookViewId="0">
      <pane ySplit="4" topLeftCell="A5" activePane="bottomLeft" state="frozen"/>
      <selection pane="bottomLeft" activeCell="R12" sqref="R12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4.25" style="66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8"/>
      <c r="B1" s="128"/>
      <c r="C1" s="128"/>
      <c r="D1" s="128"/>
      <c r="E1" s="128"/>
      <c r="F1" s="128"/>
      <c r="G1" s="128"/>
      <c r="H1" s="128"/>
      <c r="I1" s="128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8"/>
      <c r="B2" s="128"/>
      <c r="C2" s="128"/>
      <c r="D2" s="128"/>
      <c r="E2" s="128"/>
      <c r="F2" s="128"/>
      <c r="G2" s="128"/>
      <c r="H2" s="128"/>
      <c r="I2" s="128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9" t="s">
        <v>82</v>
      </c>
      <c r="K3" s="139"/>
      <c r="L3" s="137" t="s">
        <v>51</v>
      </c>
      <c r="M3" s="137" t="s">
        <v>5</v>
      </c>
      <c r="N3" s="133" t="s">
        <v>83</v>
      </c>
      <c r="O3" s="133"/>
      <c r="P3" s="133" t="s">
        <v>84</v>
      </c>
      <c r="Q3" s="133"/>
      <c r="R3" s="134" t="s">
        <v>85</v>
      </c>
      <c r="S3" s="134"/>
      <c r="T3" s="134" t="s">
        <v>86</v>
      </c>
      <c r="U3" s="134"/>
      <c r="V3" s="135" t="s">
        <v>87</v>
      </c>
      <c r="W3" s="131" t="s">
        <v>88</v>
      </c>
      <c r="X3" s="129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8"/>
      <c r="M4" s="138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6"/>
      <c r="W4" s="132"/>
      <c r="X4" s="130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:S6" si="1">R5*M5*$S$2</f>
        <v>0</v>
      </c>
      <c r="T5" s="104"/>
      <c r="U5" s="103">
        <f t="shared" ref="U5:U6" si="2">T5*M5*$U$2</f>
        <v>0</v>
      </c>
      <c r="V5" s="79">
        <f t="shared" ref="V5:V6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si="1"/>
        <v>0</v>
      </c>
      <c r="T6" s="104"/>
      <c r="U6" s="103">
        <f t="shared" si="2"/>
        <v>0</v>
      </c>
      <c r="V6" s="79">
        <f t="shared" si="3"/>
        <v>800000</v>
      </c>
      <c r="W6" s="82"/>
      <c r="X6" s="80"/>
    </row>
    <row r="7" spans="1:24" s="112" customFormat="1" ht="38.1" customHeight="1" x14ac:dyDescent="0.3">
      <c r="A7" s="75"/>
      <c r="B7" s="76"/>
      <c r="C7" s="76"/>
      <c r="D7" s="76"/>
      <c r="E7" s="76"/>
      <c r="F7" s="77"/>
      <c r="G7" s="81"/>
      <c r="H7" s="81"/>
      <c r="I7" s="77"/>
      <c r="J7" s="95" t="s">
        <v>108</v>
      </c>
      <c r="K7" s="95" t="s">
        <v>75</v>
      </c>
      <c r="L7" s="78" t="s">
        <v>76</v>
      </c>
      <c r="M7" s="105">
        <v>1</v>
      </c>
      <c r="N7" s="102">
        <v>450000</v>
      </c>
      <c r="O7" s="103">
        <f>M7*N7</f>
        <v>450000</v>
      </c>
      <c r="P7" s="101"/>
      <c r="Q7" s="103">
        <f t="shared" ref="Q7" si="5">(P7*M7)*$Q$2</f>
        <v>0</v>
      </c>
      <c r="R7" s="104"/>
      <c r="S7" s="103">
        <f t="shared" ref="S7" si="6">R7*M7*$S$2</f>
        <v>0</v>
      </c>
      <c r="T7" s="104"/>
      <c r="U7" s="103">
        <f t="shared" ref="U7" si="7">T7*M7*$U$2</f>
        <v>0</v>
      </c>
      <c r="V7" s="79">
        <f t="shared" ref="V7" si="8">SUM(O7+Q7)+S7+U7</f>
        <v>450000</v>
      </c>
      <c r="W7" s="82"/>
      <c r="X7" s="80"/>
    </row>
    <row r="8" spans="1:24" s="114" customFormat="1" ht="38.1" customHeight="1" x14ac:dyDescent="0.3">
      <c r="A8" s="113"/>
      <c r="B8" s="113"/>
      <c r="C8" s="113"/>
      <c r="D8" s="113"/>
      <c r="E8" s="113"/>
      <c r="J8" s="108"/>
      <c r="K8" s="108"/>
      <c r="O8" s="117">
        <f>SUM(O5:O7)</f>
        <v>1250000</v>
      </c>
      <c r="Q8" s="117">
        <f>SUM(Q5:Q7)</f>
        <v>219321</v>
      </c>
      <c r="S8" s="117">
        <f>SUM(S5:S7)</f>
        <v>0</v>
      </c>
      <c r="U8" s="117">
        <f>SUM(U5:U7)</f>
        <v>0</v>
      </c>
      <c r="V8" s="118">
        <f>SUM(V5:V7)</f>
        <v>1469321</v>
      </c>
      <c r="W8" s="83"/>
    </row>
    <row r="12" spans="1:24" ht="38.1" customHeight="1" x14ac:dyDescent="0.3">
      <c r="Q12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19" zoomScaleNormal="100" zoomScaleSheetLayoutView="85" workbookViewId="0">
      <selection activeCell="Q19" sqref="Q19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3"/>
  <sheetViews>
    <sheetView tabSelected="1" workbookViewId="0">
      <selection activeCell="J31" sqref="J31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r="3" spans="1:18" x14ac:dyDescent="0.3">
      <c r="A3" s="67">
        <v>999999</v>
      </c>
      <c r="B3" s="67" t="s">
        <v>77</v>
      </c>
      <c r="C3" s="67" t="s">
        <v>107</v>
      </c>
      <c r="D3" s="67" t="s">
        <v>75</v>
      </c>
      <c r="E3" s="67" t="s">
        <v>76</v>
      </c>
      <c r="F3" s="87">
        <v>1</v>
      </c>
      <c r="G3" s="90">
        <v>450000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K30" sqref="K30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2025-05-13T05:04:52Z</dcterms:modified>
</cp:coreProperties>
</file>